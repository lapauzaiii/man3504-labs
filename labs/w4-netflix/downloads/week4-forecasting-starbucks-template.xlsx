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pauzaiii/Downloads/"/>
    </mc:Choice>
  </mc:AlternateContent>
  <xr:revisionPtr revIDLastSave="0" documentId="13_ncr:1_{DB5F8ED3-8FCE-544D-8826-259BCAB2D1E5}" xr6:coauthVersionLast="47" xr6:coauthVersionMax="47" xr10:uidLastSave="{00000000-0000-0000-0000-000000000000}"/>
  <bookViews>
    <workbookView xWindow="23500" yWindow="-28180" windowWidth="26320" windowHeight="28040" activeTab="2" xr2:uid="{00000000-000D-0000-FFFF-FFFF00000000}"/>
  </bookViews>
  <sheets>
    <sheet name="Instructions" sheetId="1" r:id="rId1"/>
    <sheet name="Data" sheetId="2" r:id="rId2"/>
    <sheet name="Foreca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3" l="1"/>
  <c r="B42" i="3"/>
  <c r="A42" i="3"/>
  <c r="H41" i="3"/>
  <c r="C41" i="3"/>
  <c r="B41" i="3"/>
  <c r="A41" i="3"/>
  <c r="H40" i="3"/>
  <c r="C40" i="3"/>
  <c r="B40" i="3"/>
  <c r="H42" i="3" s="1"/>
  <c r="A40" i="3"/>
  <c r="H39" i="3"/>
  <c r="B39" i="3"/>
  <c r="A39" i="3"/>
  <c r="B38" i="3"/>
  <c r="A38" i="3"/>
  <c r="B37" i="3"/>
  <c r="A37" i="3"/>
  <c r="B36" i="3"/>
  <c r="C39" i="3" s="1"/>
  <c r="A36" i="3"/>
  <c r="B35" i="3"/>
  <c r="H36" i="3" s="1"/>
  <c r="A35" i="3"/>
  <c r="B34" i="3"/>
  <c r="C37" i="3" s="1"/>
  <c r="A34" i="3"/>
  <c r="B33" i="3"/>
  <c r="A33" i="3"/>
  <c r="C32" i="3"/>
  <c r="D32" i="3" s="1"/>
  <c r="B32" i="3"/>
  <c r="A32" i="3"/>
  <c r="B31" i="3"/>
  <c r="C34" i="3" s="1"/>
  <c r="A31" i="3"/>
  <c r="C30" i="3"/>
  <c r="B30" i="3"/>
  <c r="A30" i="3"/>
  <c r="H29" i="3"/>
  <c r="C29" i="3"/>
  <c r="B29" i="3"/>
  <c r="A29" i="3"/>
  <c r="H28" i="3"/>
  <c r="C28" i="3"/>
  <c r="B28" i="3"/>
  <c r="H31" i="3" s="1"/>
  <c r="A28" i="3"/>
  <c r="H27" i="3"/>
  <c r="B27" i="3"/>
  <c r="A27" i="3"/>
  <c r="B26" i="3"/>
  <c r="A26" i="3"/>
  <c r="B25" i="3"/>
  <c r="A25" i="3"/>
  <c r="B24" i="3"/>
  <c r="C27" i="3" s="1"/>
  <c r="A24" i="3"/>
  <c r="B23" i="3"/>
  <c r="H24" i="3" s="1"/>
  <c r="A23" i="3"/>
  <c r="B22" i="3"/>
  <c r="C25" i="3" s="1"/>
  <c r="A22" i="3"/>
  <c r="B21" i="3"/>
  <c r="A21" i="3"/>
  <c r="B20" i="3"/>
  <c r="A20" i="3"/>
  <c r="B19" i="3"/>
  <c r="C20" i="3" s="1"/>
  <c r="A19" i="3"/>
  <c r="C18" i="3"/>
  <c r="B18" i="3"/>
  <c r="A18" i="3"/>
  <c r="H17" i="3"/>
  <c r="C17" i="3"/>
  <c r="B17" i="3"/>
  <c r="A17" i="3"/>
  <c r="H16" i="3"/>
  <c r="C16" i="3"/>
  <c r="B16" i="3"/>
  <c r="H19" i="3" s="1"/>
  <c r="A16" i="3"/>
  <c r="H15" i="3"/>
  <c r="B15" i="3"/>
  <c r="A15" i="3"/>
  <c r="B14" i="3"/>
  <c r="A14" i="3"/>
  <c r="B13" i="3"/>
  <c r="A13" i="3"/>
  <c r="B12" i="3"/>
  <c r="C15" i="3" s="1"/>
  <c r="A12" i="3"/>
  <c r="K11" i="3"/>
  <c r="J11" i="3"/>
  <c r="I11" i="3"/>
  <c r="F11" i="3"/>
  <c r="E11" i="3"/>
  <c r="D11" i="3"/>
  <c r="B11" i="3"/>
  <c r="A11" i="3"/>
  <c r="L10" i="3"/>
  <c r="K10" i="3"/>
  <c r="J10" i="3"/>
  <c r="I10" i="3"/>
  <c r="G10" i="3"/>
  <c r="F10" i="3"/>
  <c r="E10" i="3"/>
  <c r="D10" i="3"/>
  <c r="B10" i="3"/>
  <c r="A10" i="3"/>
  <c r="L9" i="3"/>
  <c r="K9" i="3"/>
  <c r="J9" i="3"/>
  <c r="I9" i="3"/>
  <c r="G9" i="3"/>
  <c r="F9" i="3"/>
  <c r="E9" i="3"/>
  <c r="D9" i="3"/>
  <c r="B9" i="3"/>
  <c r="A9" i="3"/>
  <c r="D6" i="3"/>
  <c r="M9" i="3" s="1"/>
  <c r="N9" i="3" s="1"/>
  <c r="G4" i="3"/>
  <c r="D20" i="3" l="1"/>
  <c r="G20" i="3"/>
  <c r="F20" i="3"/>
  <c r="E20" i="3"/>
  <c r="I19" i="3"/>
  <c r="L19" i="3"/>
  <c r="K19" i="3"/>
  <c r="J19" i="3"/>
  <c r="F37" i="3"/>
  <c r="E37" i="3"/>
  <c r="D37" i="3"/>
  <c r="G37" i="3" s="1"/>
  <c r="E39" i="3"/>
  <c r="D39" i="3"/>
  <c r="G39" i="3"/>
  <c r="F39" i="3"/>
  <c r="L41" i="3"/>
  <c r="L42" i="3"/>
  <c r="J42" i="3"/>
  <c r="I42" i="3"/>
  <c r="K42" i="3" s="1"/>
  <c r="D15" i="3"/>
  <c r="E15" i="3" s="1"/>
  <c r="F15" i="3"/>
  <c r="F25" i="3"/>
  <c r="E25" i="3"/>
  <c r="D25" i="3"/>
  <c r="G25" i="3" s="1"/>
  <c r="O9" i="3"/>
  <c r="P9" i="3"/>
  <c r="G32" i="3"/>
  <c r="F32" i="3"/>
  <c r="E32" i="3"/>
  <c r="L29" i="3"/>
  <c r="L36" i="3"/>
  <c r="I36" i="3"/>
  <c r="K36" i="3" s="1"/>
  <c r="I31" i="3"/>
  <c r="L31" i="3"/>
  <c r="K31" i="3"/>
  <c r="J31" i="3"/>
  <c r="L24" i="3"/>
  <c r="I24" i="3"/>
  <c r="K24" i="3" s="1"/>
  <c r="C13" i="3"/>
  <c r="E27" i="3"/>
  <c r="D27" i="3"/>
  <c r="G27" i="3"/>
  <c r="F27" i="3"/>
  <c r="G16" i="3"/>
  <c r="F34" i="3"/>
  <c r="E34" i="3"/>
  <c r="D34" i="3"/>
  <c r="G34" i="3"/>
  <c r="H12" i="3"/>
  <c r="L11" i="3"/>
  <c r="G11" i="3"/>
  <c r="C14" i="3"/>
  <c r="H13" i="3"/>
  <c r="Q9" i="3"/>
  <c r="G42" i="3"/>
  <c r="I17" i="3"/>
  <c r="J17" i="3" s="1"/>
  <c r="D18" i="3"/>
  <c r="E18" i="3" s="1"/>
  <c r="H22" i="3"/>
  <c r="C23" i="3"/>
  <c r="I29" i="3"/>
  <c r="J29" i="3" s="1"/>
  <c r="D30" i="3"/>
  <c r="E30" i="3" s="1"/>
  <c r="H34" i="3"/>
  <c r="C35" i="3"/>
  <c r="I41" i="3"/>
  <c r="D42" i="3"/>
  <c r="J41" i="3"/>
  <c r="E42" i="3"/>
  <c r="I15" i="3"/>
  <c r="J15" i="3" s="1"/>
  <c r="D16" i="3"/>
  <c r="F16" i="3" s="1"/>
  <c r="K17" i="3"/>
  <c r="F18" i="3"/>
  <c r="H20" i="3"/>
  <c r="C21" i="3"/>
  <c r="I27" i="3"/>
  <c r="J27" i="3" s="1"/>
  <c r="D28" i="3"/>
  <c r="G28" i="3" s="1"/>
  <c r="K29" i="3"/>
  <c r="F30" i="3"/>
  <c r="H32" i="3"/>
  <c r="C33" i="3"/>
  <c r="I39" i="3"/>
  <c r="L39" i="3" s="1"/>
  <c r="D40" i="3"/>
  <c r="G40" i="3" s="1"/>
  <c r="K41" i="3"/>
  <c r="F42" i="3"/>
  <c r="E16" i="3"/>
  <c r="H25" i="3"/>
  <c r="C26" i="3"/>
  <c r="H37" i="3"/>
  <c r="C38" i="3"/>
  <c r="J39" i="3"/>
  <c r="E40" i="3"/>
  <c r="H18" i="3"/>
  <c r="C19" i="3"/>
  <c r="K27" i="3"/>
  <c r="F28" i="3"/>
  <c r="H30" i="3"/>
  <c r="C31" i="3"/>
  <c r="K39" i="3"/>
  <c r="F40" i="3"/>
  <c r="C12" i="3"/>
  <c r="H23" i="3"/>
  <c r="C24" i="3"/>
  <c r="H35" i="3"/>
  <c r="C36" i="3"/>
  <c r="M10" i="3"/>
  <c r="N10" i="3" s="1"/>
  <c r="I16" i="3"/>
  <c r="K16" i="3" s="1"/>
  <c r="D17" i="3"/>
  <c r="G17" i="3" s="1"/>
  <c r="H21" i="3"/>
  <c r="C22" i="3"/>
  <c r="I28" i="3"/>
  <c r="K28" i="3" s="1"/>
  <c r="D29" i="3"/>
  <c r="F29" i="3" s="1"/>
  <c r="H33" i="3"/>
  <c r="I40" i="3"/>
  <c r="L40" i="3" s="1"/>
  <c r="D41" i="3"/>
  <c r="G41" i="3" s="1"/>
  <c r="H14" i="3"/>
  <c r="J16" i="3"/>
  <c r="E17" i="3"/>
  <c r="H26" i="3"/>
  <c r="J28" i="3"/>
  <c r="E29" i="3"/>
  <c r="H38" i="3"/>
  <c r="J40" i="3"/>
  <c r="E41" i="3"/>
  <c r="K40" i="3"/>
  <c r="F41" i="3"/>
  <c r="M11" i="3" l="1"/>
  <c r="J26" i="3"/>
  <c r="I26" i="3"/>
  <c r="L26" i="3"/>
  <c r="K26" i="3"/>
  <c r="J14" i="3"/>
  <c r="I14" i="3"/>
  <c r="L14" i="3"/>
  <c r="K14" i="3"/>
  <c r="D21" i="3"/>
  <c r="E21" i="3" s="1"/>
  <c r="L17" i="3"/>
  <c r="L16" i="3"/>
  <c r="D24" i="3"/>
  <c r="E24" i="3" s="1"/>
  <c r="L15" i="3"/>
  <c r="D23" i="3"/>
  <c r="G23" i="3"/>
  <c r="F23" i="3"/>
  <c r="E23" i="3"/>
  <c r="F22" i="3"/>
  <c r="E22" i="3"/>
  <c r="D22" i="3"/>
  <c r="G22" i="3"/>
  <c r="G19" i="3"/>
  <c r="F19" i="3"/>
  <c r="D19" i="3"/>
  <c r="E19" i="3" s="1"/>
  <c r="L27" i="3"/>
  <c r="I18" i="3"/>
  <c r="K18" i="3" s="1"/>
  <c r="D13" i="3"/>
  <c r="E13" i="3" s="1"/>
  <c r="G30" i="3"/>
  <c r="F17" i="3"/>
  <c r="E28" i="3"/>
  <c r="P10" i="3"/>
  <c r="O10" i="3"/>
  <c r="Q10" i="3"/>
  <c r="I20" i="3"/>
  <c r="J20" i="3" s="1"/>
  <c r="J24" i="3"/>
  <c r="J36" i="3"/>
  <c r="D38" i="3"/>
  <c r="G38" i="3" s="1"/>
  <c r="K37" i="3"/>
  <c r="J37" i="3"/>
  <c r="I37" i="3"/>
  <c r="L37" i="3" s="1"/>
  <c r="I21" i="3"/>
  <c r="L21" i="3" s="1"/>
  <c r="D26" i="3"/>
  <c r="G26" i="3" s="1"/>
  <c r="D35" i="3"/>
  <c r="G35" i="3"/>
  <c r="F35" i="3"/>
  <c r="E35" i="3"/>
  <c r="D12" i="3"/>
  <c r="E12" i="3" s="1"/>
  <c r="F12" i="3"/>
  <c r="K15" i="3"/>
  <c r="D36" i="3"/>
  <c r="G36" i="3" s="1"/>
  <c r="E36" i="3"/>
  <c r="D31" i="3"/>
  <c r="F31" i="3" s="1"/>
  <c r="K25" i="3"/>
  <c r="L25" i="3"/>
  <c r="I25" i="3"/>
  <c r="J25" i="3" s="1"/>
  <c r="D33" i="3"/>
  <c r="F33" i="3" s="1"/>
  <c r="I34" i="3"/>
  <c r="K34" i="3" s="1"/>
  <c r="L34" i="3"/>
  <c r="J34" i="3"/>
  <c r="L13" i="3"/>
  <c r="K13" i="3"/>
  <c r="I13" i="3"/>
  <c r="J13" i="3" s="1"/>
  <c r="I22" i="3"/>
  <c r="L22" i="3"/>
  <c r="K22" i="3"/>
  <c r="J22" i="3"/>
  <c r="I38" i="3"/>
  <c r="J38" i="3" s="1"/>
  <c r="K38" i="3"/>
  <c r="K33" i="3"/>
  <c r="J33" i="3"/>
  <c r="I33" i="3"/>
  <c r="L33" i="3"/>
  <c r="I35" i="3"/>
  <c r="K35" i="3" s="1"/>
  <c r="I30" i="3"/>
  <c r="L30" i="3" s="1"/>
  <c r="L32" i="3"/>
  <c r="K32" i="3"/>
  <c r="I32" i="3"/>
  <c r="J32" i="3" s="1"/>
  <c r="D14" i="3"/>
  <c r="F14" i="3" s="1"/>
  <c r="I12" i="3"/>
  <c r="K12" i="3" s="1"/>
  <c r="G29" i="3"/>
  <c r="G18" i="3"/>
  <c r="L28" i="3"/>
  <c r="G15" i="3"/>
  <c r="I23" i="3"/>
  <c r="J23" i="3" s="1"/>
  <c r="N11" i="3" l="1"/>
  <c r="M12" i="3"/>
  <c r="G13" i="3"/>
  <c r="G24" i="3"/>
  <c r="L12" i="3"/>
  <c r="J30" i="3"/>
  <c r="L38" i="3"/>
  <c r="E31" i="3"/>
  <c r="K20" i="3"/>
  <c r="H46" i="3" s="1"/>
  <c r="F13" i="3"/>
  <c r="C46" i="3" s="1"/>
  <c r="J21" i="3"/>
  <c r="J12" i="3"/>
  <c r="G12" i="3"/>
  <c r="L20" i="3"/>
  <c r="G31" i="3"/>
  <c r="L18" i="3"/>
  <c r="K23" i="3"/>
  <c r="J18" i="3"/>
  <c r="L23" i="3"/>
  <c r="F36" i="3"/>
  <c r="E26" i="3"/>
  <c r="E38" i="3"/>
  <c r="G21" i="3"/>
  <c r="K21" i="3"/>
  <c r="E14" i="3"/>
  <c r="C45" i="3" s="1"/>
  <c r="E33" i="3"/>
  <c r="G14" i="3"/>
  <c r="L35" i="3"/>
  <c r="G33" i="3"/>
  <c r="F26" i="3"/>
  <c r="F38" i="3"/>
  <c r="F24" i="3"/>
  <c r="K30" i="3"/>
  <c r="J35" i="3"/>
  <c r="F21" i="3"/>
  <c r="N12" i="3" l="1"/>
  <c r="M13" i="3"/>
  <c r="O11" i="3"/>
  <c r="P11" i="3"/>
  <c r="Q11" i="3"/>
  <c r="C47" i="3"/>
  <c r="H47" i="3"/>
  <c r="H45" i="3"/>
  <c r="N13" i="3" l="1"/>
  <c r="M14" i="3"/>
  <c r="Q12" i="3"/>
  <c r="O12" i="3"/>
  <c r="P12" i="3"/>
  <c r="N14" i="3" l="1"/>
  <c r="M15" i="3"/>
  <c r="Q13" i="3"/>
  <c r="O13" i="3"/>
  <c r="P13" i="3"/>
  <c r="M16" i="3" l="1"/>
  <c r="N15" i="3"/>
  <c r="P14" i="3"/>
  <c r="O14" i="3"/>
  <c r="Q14" i="3"/>
  <c r="Q15" i="3" l="1"/>
  <c r="P15" i="3"/>
  <c r="O15" i="3"/>
  <c r="N16" i="3"/>
  <c r="M17" i="3"/>
  <c r="P16" i="3" l="1"/>
  <c r="O16" i="3"/>
  <c r="Q16" i="3"/>
  <c r="M18" i="3"/>
  <c r="N17" i="3"/>
  <c r="Q17" i="3" l="1"/>
  <c r="P17" i="3"/>
  <c r="O17" i="3"/>
  <c r="N18" i="3"/>
  <c r="M19" i="3"/>
  <c r="M20" i="3" l="1"/>
  <c r="N19" i="3"/>
  <c r="P18" i="3"/>
  <c r="O18" i="3"/>
  <c r="Q18" i="3"/>
  <c r="Q19" i="3" l="1"/>
  <c r="P19" i="3"/>
  <c r="O19" i="3"/>
  <c r="M21" i="3"/>
  <c r="N20" i="3"/>
  <c r="P20" i="3" l="1"/>
  <c r="O20" i="3"/>
  <c r="Q20" i="3"/>
  <c r="N21" i="3"/>
  <c r="M22" i="3"/>
  <c r="N22" i="3" l="1"/>
  <c r="M23" i="3"/>
  <c r="P21" i="3"/>
  <c r="O21" i="3"/>
  <c r="Q21" i="3"/>
  <c r="M24" i="3" l="1"/>
  <c r="N23" i="3"/>
  <c r="P22" i="3"/>
  <c r="O22" i="3"/>
  <c r="Q22" i="3"/>
  <c r="P23" i="3" l="1"/>
  <c r="O23" i="3"/>
  <c r="Q23" i="3"/>
  <c r="N24" i="3"/>
  <c r="M25" i="3"/>
  <c r="M26" i="3" l="1"/>
  <c r="N25" i="3"/>
  <c r="P24" i="3"/>
  <c r="O24" i="3"/>
  <c r="Q24" i="3"/>
  <c r="O25" i="3" l="1"/>
  <c r="Q25" i="3"/>
  <c r="P25" i="3"/>
  <c r="M27" i="3"/>
  <c r="N26" i="3"/>
  <c r="P26" i="3" l="1"/>
  <c r="O26" i="3"/>
  <c r="Q26" i="3"/>
  <c r="M28" i="3"/>
  <c r="N27" i="3"/>
  <c r="Q27" i="3" l="1"/>
  <c r="P27" i="3"/>
  <c r="O27" i="3"/>
  <c r="M29" i="3"/>
  <c r="N28" i="3"/>
  <c r="O28" i="3" l="1"/>
  <c r="P28" i="3"/>
  <c r="Q28" i="3"/>
  <c r="M30" i="3"/>
  <c r="N29" i="3"/>
  <c r="Q29" i="3" l="1"/>
  <c r="P29" i="3"/>
  <c r="O29" i="3"/>
  <c r="M31" i="3"/>
  <c r="N30" i="3"/>
  <c r="Q30" i="3" l="1"/>
  <c r="P30" i="3"/>
  <c r="O30" i="3"/>
  <c r="M32" i="3"/>
  <c r="N31" i="3"/>
  <c r="Q31" i="3" l="1"/>
  <c r="P31" i="3"/>
  <c r="O31" i="3"/>
  <c r="M33" i="3"/>
  <c r="N32" i="3"/>
  <c r="M34" i="3" l="1"/>
  <c r="N33" i="3"/>
  <c r="P32" i="3"/>
  <c r="O32" i="3"/>
  <c r="Q32" i="3"/>
  <c r="P33" i="3" l="1"/>
  <c r="Q33" i="3"/>
  <c r="O33" i="3"/>
  <c r="M35" i="3"/>
  <c r="N34" i="3"/>
  <c r="P34" i="3" l="1"/>
  <c r="O34" i="3"/>
  <c r="Q34" i="3"/>
  <c r="N35" i="3"/>
  <c r="M36" i="3"/>
  <c r="M37" i="3" l="1"/>
  <c r="N36" i="3"/>
  <c r="P35" i="3"/>
  <c r="O35" i="3"/>
  <c r="Q35" i="3"/>
  <c r="Q36" i="3" l="1"/>
  <c r="P36" i="3"/>
  <c r="O36" i="3"/>
  <c r="M38" i="3"/>
  <c r="N37" i="3"/>
  <c r="O37" i="3" l="1"/>
  <c r="Q37" i="3"/>
  <c r="P37" i="3"/>
  <c r="M39" i="3"/>
  <c r="N38" i="3"/>
  <c r="P38" i="3" l="1"/>
  <c r="O38" i="3"/>
  <c r="Q38" i="3"/>
  <c r="M40" i="3"/>
  <c r="N39" i="3"/>
  <c r="Q39" i="3" l="1"/>
  <c r="P39" i="3"/>
  <c r="O39" i="3"/>
  <c r="M41" i="3"/>
  <c r="N40" i="3"/>
  <c r="P40" i="3" l="1"/>
  <c r="O40" i="3"/>
  <c r="Q40" i="3"/>
  <c r="M42" i="3"/>
  <c r="N42" i="3" s="1"/>
  <c r="N41" i="3"/>
  <c r="Q41" i="3" l="1"/>
  <c r="P41" i="3"/>
  <c r="O41" i="3"/>
  <c r="P42" i="3"/>
  <c r="M46" i="3" s="1"/>
  <c r="O42" i="3"/>
  <c r="M45" i="3" s="1"/>
  <c r="Q42" i="3"/>
  <c r="M47" i="3" s="1"/>
</calcChain>
</file>

<file path=xl/sharedStrings.xml><?xml version="1.0" encoding="utf-8"?>
<sst xmlns="http://schemas.openxmlformats.org/spreadsheetml/2006/main" count="41" uniqueCount="40">
  <si>
    <t>Week 4: Forecasting – Quantitative Approaches (Hands-on)</t>
  </si>
  <si>
    <t>This template supports Moving Average, Weighted Moving Average, and Exponential Smoothing.</t>
  </si>
  <si>
    <t>Adjust WMA weights in Forecasts!D4:F4 (sum=1).</t>
  </si>
  <si>
    <t>Adjust α in Forecasts!D5.</t>
  </si>
  <si>
    <t>Initial ES forecast (Forecasts!D6) defaults to Data!B5 (first actual).</t>
  </si>
  <si>
    <t>Check Summary rows for MAD, MSE, MAPE.</t>
  </si>
  <si>
    <t>Starbucks Annual Revenue (USD millions)</t>
  </si>
  <si>
    <t>Year</t>
  </si>
  <si>
    <t>Revenue (USD millions)</t>
  </si>
  <si>
    <t>Controls</t>
  </si>
  <si>
    <t>WMA Weights (most recent first):</t>
  </si>
  <si>
    <t>w1 (t-1)</t>
  </si>
  <si>
    <t>w2 (t-2)</t>
  </si>
  <si>
    <t>w3 (t-3)</t>
  </si>
  <si>
    <t>Sum Check</t>
  </si>
  <si>
    <t>Exponential Smoothing α:</t>
  </si>
  <si>
    <t>Initial ES Forecast:</t>
  </si>
  <si>
    <t>Actual Revenue</t>
  </si>
  <si>
    <t>3-yr Moving Avg (MA)</t>
  </si>
  <si>
    <t>MA Error</t>
  </si>
  <si>
    <t>MA |Et|</t>
  </si>
  <si>
    <t>MA Et^2</t>
  </si>
  <si>
    <t>MA APE</t>
  </si>
  <si>
    <t>3-term WMA</t>
  </si>
  <si>
    <t>WMA Error</t>
  </si>
  <si>
    <t>WMA |Et|</t>
  </si>
  <si>
    <t>WMA Et^2</t>
  </si>
  <si>
    <t>WMA APE</t>
  </si>
  <si>
    <t>ES (α)</t>
  </si>
  <si>
    <t>ES Error</t>
  </si>
  <si>
    <t>ES |Et|</t>
  </si>
  <si>
    <t>ES Et^2</t>
  </si>
  <si>
    <t>ES APE</t>
  </si>
  <si>
    <t>Summary:</t>
  </si>
  <si>
    <t>MAD</t>
  </si>
  <si>
    <t>MSE</t>
  </si>
  <si>
    <t>MAPE</t>
  </si>
  <si>
    <t>MA</t>
  </si>
  <si>
    <t>WMA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</si>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</sst>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baseColWidth="10" defaultColWidth="8.83203125" defaultRowHeight="15" x14ac:dyDescent="0.2"/>
  <cols>
    <col min="1" max="1" width="75" bestFit="1" customWidth="1"/>
  </cols>
  <sheetData>
    <row r="1" spans="1:1" ht="19" x14ac:dyDescent="0.25">
      <c r="A1" s="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workbookViewId="0"/>
  </sheetViews>
  <sheetFormatPr baseColWidth="10" defaultColWidth="8.83203125" defaultRowHeight="15" x14ac:dyDescent="0.2"/>
  <cols>
    <col min="1" max="1" width="10.6640625" customWidth="1"/>
    <col min="2" max="2" width="22.6640625" customWidth="1"/>
  </cols>
  <sheetData>
    <row r="1" spans="1:2" ht="19" x14ac:dyDescent="0.25">
      <c r="A1" s="1" t="s">
        <v>6</v>
      </c>
    </row>
    <row r="3" spans="1:2" x14ac:dyDescent="0.2">
      <c r="A3" s="2" t="s">
        <v>7</v>
      </c>
      <c r="B3" s="2" t="s">
        <v>8</v>
      </c>
    </row>
    <row r="5" spans="1:2" x14ac:dyDescent="0.2">
      <c r="A5" s="3">
        <v>1991</v>
      </c>
      <c r="B5" s="4">
        <v>57.7</v>
      </c>
    </row>
    <row r="6" spans="1:2" x14ac:dyDescent="0.2">
      <c r="A6" s="3">
        <v>1992</v>
      </c>
      <c r="B6" s="4">
        <v>93.1</v>
      </c>
    </row>
    <row r="7" spans="1:2" x14ac:dyDescent="0.2">
      <c r="A7" s="3">
        <v>1993</v>
      </c>
      <c r="B7" s="4">
        <v>176.5</v>
      </c>
    </row>
    <row r="8" spans="1:2" x14ac:dyDescent="0.2">
      <c r="A8" s="3">
        <v>1994</v>
      </c>
      <c r="B8" s="4">
        <v>284.89999999999998</v>
      </c>
    </row>
    <row r="9" spans="1:2" x14ac:dyDescent="0.2">
      <c r="A9" s="3">
        <v>1995</v>
      </c>
      <c r="B9" s="4">
        <v>465.2</v>
      </c>
    </row>
    <row r="10" spans="1:2" x14ac:dyDescent="0.2">
      <c r="A10" s="3">
        <v>1996</v>
      </c>
      <c r="B10" s="4">
        <v>696.5</v>
      </c>
    </row>
    <row r="11" spans="1:2" x14ac:dyDescent="0.2">
      <c r="A11" s="3">
        <v>1997</v>
      </c>
      <c r="B11" s="4">
        <v>967</v>
      </c>
    </row>
    <row r="12" spans="1:2" x14ac:dyDescent="0.2">
      <c r="A12" s="3">
        <v>1998</v>
      </c>
      <c r="B12" s="4">
        <v>1308.7</v>
      </c>
    </row>
    <row r="13" spans="1:2" x14ac:dyDescent="0.2">
      <c r="A13" s="3">
        <v>1999</v>
      </c>
      <c r="B13" s="4">
        <v>1680.1</v>
      </c>
    </row>
    <row r="14" spans="1:2" x14ac:dyDescent="0.2">
      <c r="A14" s="3">
        <v>2000</v>
      </c>
      <c r="B14" s="4">
        <v>2169.1999999999998</v>
      </c>
    </row>
    <row r="15" spans="1:2" x14ac:dyDescent="0.2">
      <c r="A15" s="3">
        <v>2001</v>
      </c>
      <c r="B15" s="4">
        <v>2649</v>
      </c>
    </row>
    <row r="16" spans="1:2" x14ac:dyDescent="0.2">
      <c r="A16" s="3">
        <v>2002</v>
      </c>
      <c r="B16" s="4">
        <v>3288.9</v>
      </c>
    </row>
    <row r="17" spans="1:2" x14ac:dyDescent="0.2">
      <c r="A17" s="3">
        <v>2003</v>
      </c>
      <c r="B17" s="4">
        <v>4075.5</v>
      </c>
    </row>
    <row r="18" spans="1:2" x14ac:dyDescent="0.2">
      <c r="A18" s="3">
        <v>2004</v>
      </c>
      <c r="B18" s="4">
        <v>5294.3</v>
      </c>
    </row>
    <row r="19" spans="1:2" x14ac:dyDescent="0.2">
      <c r="A19" s="3">
        <v>2005</v>
      </c>
      <c r="B19" s="4">
        <v>6369.3</v>
      </c>
    </row>
    <row r="20" spans="1:2" x14ac:dyDescent="0.2">
      <c r="A20" s="3">
        <v>2006</v>
      </c>
      <c r="B20" s="4">
        <v>7786.9</v>
      </c>
    </row>
    <row r="21" spans="1:2" x14ac:dyDescent="0.2">
      <c r="A21" s="3">
        <v>2007</v>
      </c>
      <c r="B21" s="4">
        <v>9411.5</v>
      </c>
    </row>
    <row r="22" spans="1:2" x14ac:dyDescent="0.2">
      <c r="A22" s="3">
        <v>2008</v>
      </c>
      <c r="B22" s="4">
        <v>10383</v>
      </c>
    </row>
    <row r="23" spans="1:2" x14ac:dyDescent="0.2">
      <c r="A23" s="3">
        <v>2009</v>
      </c>
      <c r="B23" s="4">
        <v>9774.6</v>
      </c>
    </row>
    <row r="24" spans="1:2" x14ac:dyDescent="0.2">
      <c r="A24" s="3">
        <v>2010</v>
      </c>
      <c r="B24" s="4">
        <v>10707.4</v>
      </c>
    </row>
    <row r="25" spans="1:2" x14ac:dyDescent="0.2">
      <c r="A25" s="3">
        <v>2011</v>
      </c>
      <c r="B25" s="4">
        <v>11700.4</v>
      </c>
    </row>
    <row r="26" spans="1:2" x14ac:dyDescent="0.2">
      <c r="A26" s="3">
        <v>2012</v>
      </c>
      <c r="B26" s="4">
        <v>13299.5</v>
      </c>
    </row>
    <row r="27" spans="1:2" x14ac:dyDescent="0.2">
      <c r="A27" s="3">
        <v>2013</v>
      </c>
      <c r="B27" s="4">
        <v>14892.2</v>
      </c>
    </row>
    <row r="28" spans="1:2" x14ac:dyDescent="0.2">
      <c r="A28" s="3">
        <v>2014</v>
      </c>
      <c r="B28" s="4">
        <v>16447.8</v>
      </c>
    </row>
    <row r="29" spans="1:2" x14ac:dyDescent="0.2">
      <c r="A29" s="3">
        <v>2015</v>
      </c>
      <c r="B29" s="4">
        <v>19162.7</v>
      </c>
    </row>
    <row r="30" spans="1:2" x14ac:dyDescent="0.2">
      <c r="A30" s="3">
        <v>2016</v>
      </c>
      <c r="B30" s="4">
        <v>21315.9</v>
      </c>
    </row>
    <row r="31" spans="1:2" x14ac:dyDescent="0.2">
      <c r="A31" s="3">
        <v>2017</v>
      </c>
      <c r="B31" s="4">
        <v>22386.799999999999</v>
      </c>
    </row>
    <row r="32" spans="1:2" x14ac:dyDescent="0.2">
      <c r="A32" s="3">
        <v>2018</v>
      </c>
      <c r="B32" s="4">
        <v>24719.5</v>
      </c>
    </row>
    <row r="33" spans="1:2" x14ac:dyDescent="0.2">
      <c r="A33" s="3">
        <v>2019</v>
      </c>
      <c r="B33" s="4">
        <v>26508.6</v>
      </c>
    </row>
    <row r="34" spans="1:2" x14ac:dyDescent="0.2">
      <c r="A34" s="3">
        <v>2020</v>
      </c>
      <c r="B34" s="4">
        <v>23518</v>
      </c>
    </row>
    <row r="35" spans="1:2" x14ac:dyDescent="0.2">
      <c r="A35" s="3">
        <v>2021</v>
      </c>
      <c r="B35" s="4">
        <v>29060.6</v>
      </c>
    </row>
    <row r="36" spans="1:2" x14ac:dyDescent="0.2">
      <c r="A36" s="3">
        <v>2022</v>
      </c>
      <c r="B36" s="4">
        <v>32250.3</v>
      </c>
    </row>
    <row r="37" spans="1:2" x14ac:dyDescent="0.2">
      <c r="A37" s="3">
        <v>2023</v>
      </c>
      <c r="B37" s="4">
        <v>35975.599999999999</v>
      </c>
    </row>
    <row r="38" spans="1:2" x14ac:dyDescent="0.2">
      <c r="A38" s="3">
        <v>2024</v>
      </c>
      <c r="B38" s="4">
        <v>36176.199999999997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7"/>
  <sheetViews>
    <sheetView tabSelected="1" workbookViewId="0">
      <selection activeCell="O12" sqref="O12"/>
    </sheetView>
  </sheetViews>
  <sheetFormatPr baseColWidth="10" defaultColWidth="8.83203125" defaultRowHeight="15" x14ac:dyDescent="0.2"/>
  <cols>
    <col min="1" max="1" width="11.5" customWidth="1"/>
    <col min="2" max="2" width="13.33203125" bestFit="1" customWidth="1"/>
    <col min="3" max="3" width="17.83203125" bestFit="1" customWidth="1"/>
    <col min="4" max="6" width="12.1640625" bestFit="1" customWidth="1"/>
    <col min="7" max="7" width="9.33203125" bestFit="1" customWidth="1"/>
    <col min="8" max="8" width="12.1640625" bestFit="1" customWidth="1"/>
    <col min="9" max="9" width="9.83203125" bestFit="1" customWidth="1"/>
    <col min="10" max="10" width="9.1640625" bestFit="1" customWidth="1"/>
    <col min="11" max="11" width="12.1640625" bestFit="1" customWidth="1"/>
    <col min="12" max="12" width="9" bestFit="1" customWidth="1"/>
    <col min="13" max="16" width="12.1640625" bestFit="1" customWidth="1"/>
    <col min="17" max="17" width="6.1640625" bestFit="1" customWidth="1"/>
    <col min="19" max="19" width="9.1640625" bestFit="1" customWidth="1"/>
  </cols>
  <sheetData>
    <row r="1" spans="1:20" ht="19" x14ac:dyDescent="0.25">
      <c r="A1" s="1" t="s">
        <v>9</v>
      </c>
    </row>
    <row r="3" spans="1:20" x14ac:dyDescent="0.2">
      <c r="A3" s="5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20" x14ac:dyDescent="0.2">
      <c r="D4">
        <v>0.5</v>
      </c>
      <c r="E4">
        <v>0.3</v>
      </c>
      <c r="F4">
        <v>0.2</v>
      </c>
      <c r="G4">
        <f>D4+E4+F4</f>
        <v>1</v>
      </c>
    </row>
    <row r="5" spans="1:20" x14ac:dyDescent="0.2">
      <c r="A5" s="5" t="s">
        <v>15</v>
      </c>
      <c r="D5">
        <v>0.3</v>
      </c>
    </row>
    <row r="6" spans="1:20" x14ac:dyDescent="0.2">
      <c r="A6" s="5" t="s">
        <v>16</v>
      </c>
      <c r="D6">
        <f>Data!B5</f>
        <v>57.7</v>
      </c>
    </row>
    <row r="8" spans="1:20" x14ac:dyDescent="0.2">
      <c r="A8" s="2" t="s">
        <v>7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26</v>
      </c>
      <c r="L8" s="2" t="s">
        <v>27</v>
      </c>
      <c r="M8" s="2" t="s">
        <v>28</v>
      </c>
      <c r="N8" s="2" t="s">
        <v>29</v>
      </c>
      <c r="O8" s="2" t="s">
        <v>30</v>
      </c>
      <c r="P8" s="2" t="s">
        <v>31</v>
      </c>
      <c r="Q8" s="2" t="s">
        <v>32</v>
      </c>
    </row>
    <row r="9" spans="1:20" x14ac:dyDescent="0.2">
      <c r="A9">
        <f>Data!A5</f>
        <v>1991</v>
      </c>
      <c r="B9" s="4">
        <f>Data!B5</f>
        <v>57.7</v>
      </c>
      <c r="D9" t="str">
        <f t="shared" ref="D9:D42" si="0">IF(C9="","",B9-C9)</f>
        <v/>
      </c>
      <c r="E9" t="str">
        <f t="shared" ref="E9:E42" si="1">IF(C9="","",ABS(D9))</f>
        <v/>
      </c>
      <c r="F9" t="str">
        <f t="shared" ref="F9:F42" si="2">IF(C9="","",D9^2)</f>
        <v/>
      </c>
      <c r="G9" s="6" t="str">
        <f t="shared" ref="G9:G42" si="3">IF(OR(C9="",B9=0),"",ABS(D9)/B9)</f>
        <v/>
      </c>
      <c r="I9" t="str">
        <f t="shared" ref="I9:I42" si="4">IF(H9="","",B9-H9)</f>
        <v/>
      </c>
      <c r="J9" t="str">
        <f t="shared" ref="J9:J42" si="5">IF(H9="","",ABS(I9))</f>
        <v/>
      </c>
      <c r="K9" t="str">
        <f t="shared" ref="K9:K42" si="6">IF(H9="","",I9^2)</f>
        <v/>
      </c>
      <c r="L9" s="6" t="str">
        <f t="shared" ref="L9:L42" si="7">IF(OR(H9="",B9=0),"",ABS(I9)/B9)</f>
        <v/>
      </c>
      <c r="M9" s="4">
        <f>D6</f>
        <v>57.7</v>
      </c>
      <c r="N9">
        <f t="shared" ref="N9:N42" si="8">B9-M9</f>
        <v>0</v>
      </c>
      <c r="O9">
        <f t="shared" ref="O9:O42" si="9">ABS(N9)</f>
        <v>0</v>
      </c>
      <c r="P9">
        <f t="shared" ref="P9:P42" si="10">N9^2</f>
        <v>0</v>
      </c>
      <c r="Q9" s="6">
        <f t="shared" ref="Q9:Q42" si="11">IF(B9=0,"",ABS(N9)/B9)</f>
        <v>0</v>
      </c>
    </row>
    <row r="10" spans="1:20" x14ac:dyDescent="0.2">
      <c r="A10">
        <f>Data!A6</f>
        <v>1992</v>
      </c>
      <c r="B10" s="4">
        <f>Data!B6</f>
        <v>93.1</v>
      </c>
      <c r="D10" t="str">
        <f t="shared" si="0"/>
        <v/>
      </c>
      <c r="E10" t="str">
        <f t="shared" si="1"/>
        <v/>
      </c>
      <c r="F10" t="str">
        <f t="shared" si="2"/>
        <v/>
      </c>
      <c r="G10" s="6" t="str">
        <f t="shared" si="3"/>
        <v/>
      </c>
      <c r="I10" t="str">
        <f t="shared" si="4"/>
        <v/>
      </c>
      <c r="J10" t="str">
        <f t="shared" si="5"/>
        <v/>
      </c>
      <c r="K10" t="str">
        <f t="shared" si="6"/>
        <v/>
      </c>
      <c r="L10" s="6" t="str">
        <f t="shared" si="7"/>
        <v/>
      </c>
      <c r="M10" s="4">
        <f t="shared" ref="M10:M42" si="12">$D$5*B9+(1-$D$5)*M9</f>
        <v>57.7</v>
      </c>
      <c r="N10">
        <f t="shared" si="8"/>
        <v>35.399999999999991</v>
      </c>
      <c r="O10">
        <f t="shared" si="9"/>
        <v>35.399999999999991</v>
      </c>
      <c r="P10">
        <f t="shared" si="10"/>
        <v>1253.1599999999994</v>
      </c>
      <c r="Q10" s="6">
        <f t="shared" si="11"/>
        <v>0.38023630504833505</v>
      </c>
    </row>
    <row r="11" spans="1:20" x14ac:dyDescent="0.2">
      <c r="A11">
        <f>Data!A7</f>
        <v>1993</v>
      </c>
      <c r="B11" s="4">
        <f>Data!B7</f>
        <v>176.5</v>
      </c>
      <c r="D11" t="str">
        <f t="shared" si="0"/>
        <v/>
      </c>
      <c r="E11" t="str">
        <f t="shared" si="1"/>
        <v/>
      </c>
      <c r="F11" t="str">
        <f t="shared" si="2"/>
        <v/>
      </c>
      <c r="G11" s="6" t="str">
        <f t="shared" si="3"/>
        <v/>
      </c>
      <c r="I11" t="str">
        <f t="shared" si="4"/>
        <v/>
      </c>
      <c r="J11" t="str">
        <f t="shared" si="5"/>
        <v/>
      </c>
      <c r="K11" t="str">
        <f t="shared" si="6"/>
        <v/>
      </c>
      <c r="L11" s="6" t="str">
        <f t="shared" si="7"/>
        <v/>
      </c>
      <c r="M11" s="4">
        <f t="shared" si="12"/>
        <v>68.319999999999993</v>
      </c>
      <c r="N11">
        <f t="shared" si="8"/>
        <v>108.18</v>
      </c>
      <c r="O11">
        <f t="shared" si="9"/>
        <v>108.18</v>
      </c>
      <c r="P11">
        <f t="shared" si="10"/>
        <v>11702.912400000001</v>
      </c>
      <c r="Q11" s="6">
        <f t="shared" si="11"/>
        <v>0.61291784702549579</v>
      </c>
    </row>
    <row r="12" spans="1:20" x14ac:dyDescent="0.2">
      <c r="A12">
        <f>Data!A8</f>
        <v>1994</v>
      </c>
      <c r="B12" s="4">
        <f>Data!B8</f>
        <v>284.89999999999998</v>
      </c>
      <c r="C12" s="4">
        <f t="shared" ref="C12:C42" si="13">AVERAGE(B9:B11)</f>
        <v>109.10000000000001</v>
      </c>
      <c r="D12">
        <f t="shared" si="0"/>
        <v>175.79999999999995</v>
      </c>
      <c r="E12">
        <f t="shared" si="1"/>
        <v>175.79999999999995</v>
      </c>
      <c r="F12">
        <f t="shared" si="2"/>
        <v>30905.639999999985</v>
      </c>
      <c r="G12" s="6">
        <f t="shared" si="3"/>
        <v>0.61705861705861698</v>
      </c>
      <c r="H12" s="4">
        <f t="shared" ref="H12:H42" si="14">$D$4*B11+$E$4*B10+$F$4*B9</f>
        <v>127.72</v>
      </c>
      <c r="I12">
        <f t="shared" si="4"/>
        <v>157.17999999999998</v>
      </c>
      <c r="J12">
        <f t="shared" si="5"/>
        <v>157.17999999999998</v>
      </c>
      <c r="K12">
        <f t="shared" si="6"/>
        <v>24705.552399999993</v>
      </c>
      <c r="L12" s="6">
        <f t="shared" si="7"/>
        <v>0.55170235170235171</v>
      </c>
      <c r="M12" s="4">
        <f t="shared" si="12"/>
        <v>100.77399999999999</v>
      </c>
      <c r="N12">
        <f t="shared" si="8"/>
        <v>184.12599999999998</v>
      </c>
      <c r="O12">
        <f t="shared" si="9"/>
        <v>184.12599999999998</v>
      </c>
      <c r="P12">
        <f t="shared" si="10"/>
        <v>33902.383875999993</v>
      </c>
      <c r="Q12" s="6">
        <f t="shared" si="11"/>
        <v>0.6462829062829063</v>
      </c>
      <c r="S12" s="7"/>
      <c r="T12" s="7"/>
    </row>
    <row r="13" spans="1:20" x14ac:dyDescent="0.2">
      <c r="A13">
        <f>Data!A9</f>
        <v>1995</v>
      </c>
      <c r="B13" s="4">
        <f>Data!B9</f>
        <v>465.2</v>
      </c>
      <c r="C13" s="4">
        <f t="shared" si="13"/>
        <v>184.83333333333334</v>
      </c>
      <c r="D13">
        <f t="shared" si="0"/>
        <v>280.36666666666667</v>
      </c>
      <c r="E13">
        <f t="shared" si="1"/>
        <v>280.36666666666667</v>
      </c>
      <c r="F13">
        <f t="shared" si="2"/>
        <v>78605.467777777783</v>
      </c>
      <c r="G13" s="6">
        <f t="shared" si="3"/>
        <v>0.60267985096016052</v>
      </c>
      <c r="H13" s="4">
        <f t="shared" si="14"/>
        <v>214.01999999999998</v>
      </c>
      <c r="I13">
        <f t="shared" si="4"/>
        <v>251.18</v>
      </c>
      <c r="J13">
        <f t="shared" si="5"/>
        <v>251.18</v>
      </c>
      <c r="K13">
        <f t="shared" si="6"/>
        <v>63091.392400000004</v>
      </c>
      <c r="L13" s="6">
        <f t="shared" si="7"/>
        <v>0.53993981083404985</v>
      </c>
      <c r="M13" s="4">
        <f t="shared" si="12"/>
        <v>156.01179999999997</v>
      </c>
      <c r="N13">
        <f t="shared" si="8"/>
        <v>309.18820000000005</v>
      </c>
      <c r="O13">
        <f t="shared" si="9"/>
        <v>309.18820000000005</v>
      </c>
      <c r="P13">
        <f t="shared" si="10"/>
        <v>95597.343019240026</v>
      </c>
      <c r="Q13" s="6">
        <f t="shared" si="11"/>
        <v>0.664634995700774</v>
      </c>
      <c r="S13" s="7"/>
    </row>
    <row r="14" spans="1:20" x14ac:dyDescent="0.2">
      <c r="A14">
        <f>Data!A10</f>
        <v>1996</v>
      </c>
      <c r="B14" s="4">
        <f>Data!B10</f>
        <v>696.5</v>
      </c>
      <c r="C14" s="4">
        <f t="shared" si="13"/>
        <v>308.86666666666662</v>
      </c>
      <c r="D14">
        <f t="shared" si="0"/>
        <v>387.63333333333338</v>
      </c>
      <c r="E14">
        <f t="shared" si="1"/>
        <v>387.63333333333338</v>
      </c>
      <c r="F14">
        <f t="shared" si="2"/>
        <v>150259.60111111114</v>
      </c>
      <c r="G14" s="6">
        <f t="shared" si="3"/>
        <v>0.5565446279014119</v>
      </c>
      <c r="H14" s="4">
        <f t="shared" si="14"/>
        <v>353.37</v>
      </c>
      <c r="I14">
        <f t="shared" si="4"/>
        <v>343.13</v>
      </c>
      <c r="J14">
        <f t="shared" si="5"/>
        <v>343.13</v>
      </c>
      <c r="K14">
        <f t="shared" si="6"/>
        <v>117738.1969</v>
      </c>
      <c r="L14" s="6">
        <f t="shared" si="7"/>
        <v>0.49264895908111989</v>
      </c>
      <c r="M14" s="4">
        <f t="shared" si="12"/>
        <v>248.76825999999997</v>
      </c>
      <c r="N14">
        <f t="shared" si="8"/>
        <v>447.73174000000006</v>
      </c>
      <c r="O14">
        <f t="shared" si="9"/>
        <v>447.73174000000006</v>
      </c>
      <c r="P14">
        <f t="shared" si="10"/>
        <v>200463.71100342766</v>
      </c>
      <c r="Q14" s="6">
        <f t="shared" si="11"/>
        <v>0.64283092605886583</v>
      </c>
      <c r="S14" s="7"/>
    </row>
    <row r="15" spans="1:20" x14ac:dyDescent="0.2">
      <c r="A15">
        <f>Data!A11</f>
        <v>1997</v>
      </c>
      <c r="B15" s="4">
        <f>Data!B11</f>
        <v>967</v>
      </c>
      <c r="C15" s="4">
        <f t="shared" si="13"/>
        <v>482.2</v>
      </c>
      <c r="D15">
        <f t="shared" si="0"/>
        <v>484.8</v>
      </c>
      <c r="E15">
        <f t="shared" si="1"/>
        <v>484.8</v>
      </c>
      <c r="F15">
        <f t="shared" si="2"/>
        <v>235031.04000000001</v>
      </c>
      <c r="G15" s="6">
        <f t="shared" si="3"/>
        <v>0.50134436401240956</v>
      </c>
      <c r="H15" s="4">
        <f t="shared" si="14"/>
        <v>544.79</v>
      </c>
      <c r="I15">
        <f t="shared" si="4"/>
        <v>422.21000000000004</v>
      </c>
      <c r="J15">
        <f t="shared" si="5"/>
        <v>422.21000000000004</v>
      </c>
      <c r="K15">
        <f t="shared" si="6"/>
        <v>178261.28410000002</v>
      </c>
      <c r="L15" s="6">
        <f t="shared" si="7"/>
        <v>0.4366184074457084</v>
      </c>
      <c r="M15" s="4">
        <f t="shared" si="12"/>
        <v>383.08778199999995</v>
      </c>
      <c r="N15">
        <f t="shared" si="8"/>
        <v>583.91221800000005</v>
      </c>
      <c r="O15">
        <f t="shared" si="9"/>
        <v>583.91221800000005</v>
      </c>
      <c r="P15">
        <f t="shared" si="10"/>
        <v>340953.47832967958</v>
      </c>
      <c r="Q15" s="6">
        <f t="shared" si="11"/>
        <v>0.60383890175801458</v>
      </c>
      <c r="S15" s="7"/>
    </row>
    <row r="16" spans="1:20" x14ac:dyDescent="0.2">
      <c r="A16">
        <f>Data!A12</f>
        <v>1998</v>
      </c>
      <c r="B16" s="4">
        <f>Data!B12</f>
        <v>1308.7</v>
      </c>
      <c r="C16" s="4">
        <f t="shared" si="13"/>
        <v>709.56666666666661</v>
      </c>
      <c r="D16">
        <f t="shared" si="0"/>
        <v>599.13333333333344</v>
      </c>
      <c r="E16">
        <f t="shared" si="1"/>
        <v>599.13333333333344</v>
      </c>
      <c r="F16">
        <f t="shared" si="2"/>
        <v>358960.75111111125</v>
      </c>
      <c r="G16" s="6">
        <f t="shared" si="3"/>
        <v>0.45780800285270379</v>
      </c>
      <c r="H16" s="4">
        <f t="shared" si="14"/>
        <v>785.49</v>
      </c>
      <c r="I16">
        <f t="shared" si="4"/>
        <v>523.21</v>
      </c>
      <c r="J16">
        <f t="shared" si="5"/>
        <v>523.21</v>
      </c>
      <c r="K16">
        <f t="shared" si="6"/>
        <v>273748.70410000003</v>
      </c>
      <c r="L16" s="6">
        <f t="shared" si="7"/>
        <v>0.39979368839306184</v>
      </c>
      <c r="M16" s="4">
        <f t="shared" si="12"/>
        <v>558.26144739999995</v>
      </c>
      <c r="N16">
        <f t="shared" si="8"/>
        <v>750.43855260000009</v>
      </c>
      <c r="O16">
        <f t="shared" si="9"/>
        <v>750.43855260000009</v>
      </c>
      <c r="P16">
        <f t="shared" si="10"/>
        <v>563158.02122838306</v>
      </c>
      <c r="Q16" s="6">
        <f t="shared" si="11"/>
        <v>0.57342290257507456</v>
      </c>
      <c r="S16" s="7"/>
    </row>
    <row r="17" spans="1:19" x14ac:dyDescent="0.2">
      <c r="A17">
        <f>Data!A13</f>
        <v>1999</v>
      </c>
      <c r="B17" s="4">
        <f>Data!B13</f>
        <v>1680.1</v>
      </c>
      <c r="C17" s="4">
        <f t="shared" si="13"/>
        <v>990.73333333333323</v>
      </c>
      <c r="D17">
        <f t="shared" si="0"/>
        <v>689.36666666666667</v>
      </c>
      <c r="E17">
        <f t="shared" si="1"/>
        <v>689.36666666666667</v>
      </c>
      <c r="F17">
        <f t="shared" si="2"/>
        <v>475226.4011111111</v>
      </c>
      <c r="G17" s="6">
        <f t="shared" si="3"/>
        <v>0.41031287820169438</v>
      </c>
      <c r="H17" s="4">
        <f t="shared" si="14"/>
        <v>1083.75</v>
      </c>
      <c r="I17">
        <f t="shared" si="4"/>
        <v>596.34999999999991</v>
      </c>
      <c r="J17">
        <f t="shared" si="5"/>
        <v>596.34999999999991</v>
      </c>
      <c r="K17">
        <f t="shared" si="6"/>
        <v>355633.32249999989</v>
      </c>
      <c r="L17" s="6">
        <f t="shared" si="7"/>
        <v>0.35494911017201353</v>
      </c>
      <c r="M17" s="4">
        <f t="shared" si="12"/>
        <v>783.39301318000003</v>
      </c>
      <c r="N17">
        <f t="shared" si="8"/>
        <v>896.70698681999988</v>
      </c>
      <c r="O17">
        <f t="shared" si="9"/>
        <v>896.70698681999988</v>
      </c>
      <c r="P17">
        <f t="shared" si="10"/>
        <v>804083.4202118034</v>
      </c>
      <c r="Q17" s="6">
        <f t="shared" si="11"/>
        <v>0.53372238963156948</v>
      </c>
      <c r="S17" s="7"/>
    </row>
    <row r="18" spans="1:19" x14ac:dyDescent="0.2">
      <c r="A18">
        <f>Data!A14</f>
        <v>2000</v>
      </c>
      <c r="B18" s="4">
        <f>Data!B14</f>
        <v>2169.1999999999998</v>
      </c>
      <c r="C18" s="4">
        <f t="shared" si="13"/>
        <v>1318.6</v>
      </c>
      <c r="D18">
        <f t="shared" si="0"/>
        <v>850.59999999999991</v>
      </c>
      <c r="E18">
        <f t="shared" si="1"/>
        <v>850.59999999999991</v>
      </c>
      <c r="F18">
        <f t="shared" si="2"/>
        <v>723520.35999999987</v>
      </c>
      <c r="G18" s="6">
        <f t="shared" si="3"/>
        <v>0.39212612944864467</v>
      </c>
      <c r="H18" s="4">
        <f t="shared" si="14"/>
        <v>1426.06</v>
      </c>
      <c r="I18">
        <f t="shared" si="4"/>
        <v>743.13999999999987</v>
      </c>
      <c r="J18">
        <f t="shared" si="5"/>
        <v>743.13999999999987</v>
      </c>
      <c r="K18">
        <f t="shared" si="6"/>
        <v>552257.0595999998</v>
      </c>
      <c r="L18" s="6">
        <f t="shared" si="7"/>
        <v>0.34258712889544529</v>
      </c>
      <c r="M18" s="4">
        <f t="shared" si="12"/>
        <v>1052.4051092259999</v>
      </c>
      <c r="N18">
        <f t="shared" si="8"/>
        <v>1116.7948907739999</v>
      </c>
      <c r="O18">
        <f t="shared" si="9"/>
        <v>1116.7948907739999</v>
      </c>
      <c r="P18">
        <f t="shared" si="10"/>
        <v>1247230.8280589103</v>
      </c>
      <c r="Q18" s="6">
        <f t="shared" si="11"/>
        <v>0.51484182683662183</v>
      </c>
      <c r="S18" s="7"/>
    </row>
    <row r="19" spans="1:19" x14ac:dyDescent="0.2">
      <c r="A19">
        <f>Data!A15</f>
        <v>2001</v>
      </c>
      <c r="B19" s="4">
        <f>Data!B15</f>
        <v>2649</v>
      </c>
      <c r="C19" s="4">
        <f t="shared" si="13"/>
        <v>1719.3333333333333</v>
      </c>
      <c r="D19">
        <f t="shared" si="0"/>
        <v>929.66666666666674</v>
      </c>
      <c r="E19">
        <f t="shared" si="1"/>
        <v>929.66666666666674</v>
      </c>
      <c r="F19">
        <f t="shared" si="2"/>
        <v>864280.11111111124</v>
      </c>
      <c r="G19" s="6">
        <f t="shared" si="3"/>
        <v>0.35095004404177682</v>
      </c>
      <c r="H19" s="4">
        <f t="shared" si="14"/>
        <v>1850.37</v>
      </c>
      <c r="I19">
        <f t="shared" si="4"/>
        <v>798.63000000000011</v>
      </c>
      <c r="J19">
        <f t="shared" si="5"/>
        <v>798.63000000000011</v>
      </c>
      <c r="K19">
        <f t="shared" si="6"/>
        <v>637809.87690000015</v>
      </c>
      <c r="L19" s="6">
        <f t="shared" si="7"/>
        <v>0.30148357870894682</v>
      </c>
      <c r="M19" s="4">
        <f t="shared" si="12"/>
        <v>1387.4435764581999</v>
      </c>
      <c r="N19">
        <f t="shared" si="8"/>
        <v>1261.5564235418001</v>
      </c>
      <c r="O19">
        <f t="shared" si="9"/>
        <v>1261.5564235418001</v>
      </c>
      <c r="P19">
        <f t="shared" si="10"/>
        <v>1591524.6097795777</v>
      </c>
      <c r="Q19" s="6">
        <f t="shared" si="11"/>
        <v>0.47623874048388076</v>
      </c>
      <c r="S19" s="7"/>
    </row>
    <row r="20" spans="1:19" x14ac:dyDescent="0.2">
      <c r="A20">
        <f>Data!A16</f>
        <v>2002</v>
      </c>
      <c r="B20" s="4">
        <f>Data!B16</f>
        <v>3288.9</v>
      </c>
      <c r="C20" s="4">
        <f t="shared" si="13"/>
        <v>2166.1</v>
      </c>
      <c r="D20">
        <f t="shared" si="0"/>
        <v>1122.8000000000002</v>
      </c>
      <c r="E20">
        <f t="shared" si="1"/>
        <v>1122.8000000000002</v>
      </c>
      <c r="F20">
        <f t="shared" si="2"/>
        <v>1260679.8400000003</v>
      </c>
      <c r="G20" s="6">
        <f t="shared" si="3"/>
        <v>0.34139073854480229</v>
      </c>
      <c r="H20" s="4">
        <f t="shared" si="14"/>
        <v>2311.2799999999997</v>
      </c>
      <c r="I20">
        <f t="shared" si="4"/>
        <v>977.62000000000035</v>
      </c>
      <c r="J20">
        <f t="shared" si="5"/>
        <v>977.62000000000035</v>
      </c>
      <c r="K20">
        <f t="shared" si="6"/>
        <v>955740.86440000066</v>
      </c>
      <c r="L20" s="6">
        <f t="shared" si="7"/>
        <v>0.29724832010702679</v>
      </c>
      <c r="M20" s="4">
        <f t="shared" si="12"/>
        <v>1765.9105035207399</v>
      </c>
      <c r="N20">
        <f t="shared" si="8"/>
        <v>1522.9894964792602</v>
      </c>
      <c r="O20">
        <f t="shared" si="9"/>
        <v>1522.9894964792602</v>
      </c>
      <c r="P20">
        <f t="shared" si="10"/>
        <v>2319497.0063861506</v>
      </c>
      <c r="Q20" s="6">
        <f t="shared" si="11"/>
        <v>0.4630695662620512</v>
      </c>
      <c r="S20" s="7"/>
    </row>
    <row r="21" spans="1:19" x14ac:dyDescent="0.2">
      <c r="A21">
        <f>Data!A17</f>
        <v>2003</v>
      </c>
      <c r="B21" s="4">
        <f>Data!B17</f>
        <v>4075.5</v>
      </c>
      <c r="C21" s="4">
        <f t="shared" si="13"/>
        <v>2702.3666666666668</v>
      </c>
      <c r="D21">
        <f t="shared" si="0"/>
        <v>1373.1333333333332</v>
      </c>
      <c r="E21">
        <f t="shared" si="1"/>
        <v>1373.1333333333332</v>
      </c>
      <c r="F21">
        <f t="shared" si="2"/>
        <v>1885495.1511111108</v>
      </c>
      <c r="G21" s="6">
        <f t="shared" si="3"/>
        <v>0.33692389481863161</v>
      </c>
      <c r="H21" s="4">
        <f t="shared" si="14"/>
        <v>2872.9900000000002</v>
      </c>
      <c r="I21">
        <f t="shared" si="4"/>
        <v>1202.5099999999998</v>
      </c>
      <c r="J21">
        <f t="shared" si="5"/>
        <v>1202.5099999999998</v>
      </c>
      <c r="K21">
        <f t="shared" si="6"/>
        <v>1446030.3000999994</v>
      </c>
      <c r="L21" s="6">
        <f t="shared" si="7"/>
        <v>0.29505827505827498</v>
      </c>
      <c r="M21" s="4">
        <f t="shared" si="12"/>
        <v>2222.8073524645179</v>
      </c>
      <c r="N21">
        <f t="shared" si="8"/>
        <v>1852.6926475354821</v>
      </c>
      <c r="O21">
        <f t="shared" si="9"/>
        <v>1852.6926475354821</v>
      </c>
      <c r="P21">
        <f t="shared" si="10"/>
        <v>3432470.0462320345</v>
      </c>
      <c r="Q21" s="6">
        <f t="shared" si="11"/>
        <v>0.45459272421432517</v>
      </c>
      <c r="S21" s="7"/>
    </row>
    <row r="22" spans="1:19" x14ac:dyDescent="0.2">
      <c r="A22">
        <f>Data!A18</f>
        <v>2004</v>
      </c>
      <c r="B22" s="4">
        <f>Data!B18</f>
        <v>5294.3</v>
      </c>
      <c r="C22" s="4">
        <f t="shared" si="13"/>
        <v>3337.7999999999997</v>
      </c>
      <c r="D22">
        <f t="shared" si="0"/>
        <v>1956.5000000000005</v>
      </c>
      <c r="E22">
        <f t="shared" si="1"/>
        <v>1956.5000000000005</v>
      </c>
      <c r="F22">
        <f t="shared" si="2"/>
        <v>3827892.2500000019</v>
      </c>
      <c r="G22" s="6">
        <f t="shared" si="3"/>
        <v>0.36954838222239017</v>
      </c>
      <c r="H22" s="4">
        <f t="shared" si="14"/>
        <v>3554.2200000000003</v>
      </c>
      <c r="I22">
        <f t="shared" si="4"/>
        <v>1740.08</v>
      </c>
      <c r="J22">
        <f t="shared" si="5"/>
        <v>1740.08</v>
      </c>
      <c r="K22">
        <f t="shared" si="6"/>
        <v>3027878.4063999997</v>
      </c>
      <c r="L22" s="6">
        <f t="shared" si="7"/>
        <v>0.32867045690648433</v>
      </c>
      <c r="M22" s="4">
        <f t="shared" si="12"/>
        <v>2778.615146725162</v>
      </c>
      <c r="N22">
        <f t="shared" si="8"/>
        <v>2515.6848532748381</v>
      </c>
      <c r="O22">
        <f t="shared" si="9"/>
        <v>2515.6848532748381</v>
      </c>
      <c r="P22">
        <f t="shared" si="10"/>
        <v>6328670.2809964437</v>
      </c>
      <c r="Q22" s="6">
        <f t="shared" si="11"/>
        <v>0.47516854981297585</v>
      </c>
      <c r="S22" s="7"/>
    </row>
    <row r="23" spans="1:19" x14ac:dyDescent="0.2">
      <c r="A23">
        <f>Data!A19</f>
        <v>2005</v>
      </c>
      <c r="B23" s="4">
        <f>Data!B19</f>
        <v>6369.3</v>
      </c>
      <c r="C23" s="4">
        <f t="shared" si="13"/>
        <v>4219.5666666666666</v>
      </c>
      <c r="D23">
        <f t="shared" si="0"/>
        <v>2149.7333333333336</v>
      </c>
      <c r="E23">
        <f t="shared" si="1"/>
        <v>2149.7333333333336</v>
      </c>
      <c r="F23">
        <f t="shared" si="2"/>
        <v>4621353.4044444459</v>
      </c>
      <c r="G23" s="6">
        <f t="shared" si="3"/>
        <v>0.33751484987884595</v>
      </c>
      <c r="H23" s="4">
        <f t="shared" si="14"/>
        <v>4527.58</v>
      </c>
      <c r="I23">
        <f t="shared" si="4"/>
        <v>1841.7200000000003</v>
      </c>
      <c r="J23">
        <f t="shared" si="5"/>
        <v>1841.7200000000003</v>
      </c>
      <c r="K23">
        <f t="shared" si="6"/>
        <v>3391932.5584000009</v>
      </c>
      <c r="L23" s="6">
        <f t="shared" si="7"/>
        <v>0.28915579420030463</v>
      </c>
      <c r="M23" s="4">
        <f t="shared" si="12"/>
        <v>3533.320602707613</v>
      </c>
      <c r="N23">
        <f t="shared" si="8"/>
        <v>2835.9793972923871</v>
      </c>
      <c r="O23">
        <f t="shared" si="9"/>
        <v>2835.9793972923871</v>
      </c>
      <c r="P23">
        <f t="shared" si="10"/>
        <v>8042779.1418668916</v>
      </c>
      <c r="Q23" s="6">
        <f t="shared" si="11"/>
        <v>0.44525762600166219</v>
      </c>
      <c r="S23" s="7"/>
    </row>
    <row r="24" spans="1:19" x14ac:dyDescent="0.2">
      <c r="A24">
        <f>Data!A20</f>
        <v>2006</v>
      </c>
      <c r="B24" s="4">
        <f>Data!B20</f>
        <v>7786.9</v>
      </c>
      <c r="C24" s="4">
        <f t="shared" si="13"/>
        <v>5246.3666666666659</v>
      </c>
      <c r="D24">
        <f t="shared" si="0"/>
        <v>2540.5333333333338</v>
      </c>
      <c r="E24">
        <f t="shared" si="1"/>
        <v>2540.5333333333338</v>
      </c>
      <c r="F24">
        <f t="shared" si="2"/>
        <v>6454309.6177777797</v>
      </c>
      <c r="G24" s="6">
        <f t="shared" si="3"/>
        <v>0.32625734674046591</v>
      </c>
      <c r="H24" s="4">
        <f t="shared" si="14"/>
        <v>5588.0400000000009</v>
      </c>
      <c r="I24">
        <f t="shared" si="4"/>
        <v>2198.8599999999988</v>
      </c>
      <c r="J24">
        <f t="shared" si="5"/>
        <v>2198.8599999999988</v>
      </c>
      <c r="K24">
        <f t="shared" si="6"/>
        <v>4834985.2995999949</v>
      </c>
      <c r="L24" s="6">
        <f t="shared" si="7"/>
        <v>0.28237938075485736</v>
      </c>
      <c r="M24" s="4">
        <f t="shared" si="12"/>
        <v>4384.1144218953286</v>
      </c>
      <c r="N24">
        <f t="shared" si="8"/>
        <v>3402.785578104671</v>
      </c>
      <c r="O24">
        <f t="shared" si="9"/>
        <v>3402.785578104671</v>
      </c>
      <c r="P24">
        <f t="shared" si="10"/>
        <v>11578949.690557141</v>
      </c>
      <c r="Q24" s="6">
        <f t="shared" si="11"/>
        <v>0.43698847784158923</v>
      </c>
      <c r="S24" s="7"/>
    </row>
    <row r="25" spans="1:19" x14ac:dyDescent="0.2">
      <c r="A25">
        <f>Data!A21</f>
        <v>2007</v>
      </c>
      <c r="B25" s="4">
        <f>Data!B21</f>
        <v>9411.5</v>
      </c>
      <c r="C25" s="4">
        <f t="shared" si="13"/>
        <v>6483.5</v>
      </c>
      <c r="D25">
        <f t="shared" si="0"/>
        <v>2928</v>
      </c>
      <c r="E25">
        <f t="shared" si="1"/>
        <v>2928</v>
      </c>
      <c r="F25">
        <f t="shared" si="2"/>
        <v>8573184</v>
      </c>
      <c r="G25" s="6">
        <f t="shared" si="3"/>
        <v>0.31110874993359189</v>
      </c>
      <c r="H25" s="4">
        <f t="shared" si="14"/>
        <v>6863.1</v>
      </c>
      <c r="I25">
        <f t="shared" si="4"/>
        <v>2548.3999999999996</v>
      </c>
      <c r="J25">
        <f t="shared" si="5"/>
        <v>2548.3999999999996</v>
      </c>
      <c r="K25">
        <f t="shared" si="6"/>
        <v>6494342.5599999977</v>
      </c>
      <c r="L25" s="6">
        <f t="shared" si="7"/>
        <v>0.27077511555012479</v>
      </c>
      <c r="M25" s="4">
        <f t="shared" si="12"/>
        <v>5404.9500953267298</v>
      </c>
      <c r="N25">
        <f t="shared" si="8"/>
        <v>4006.5499046732702</v>
      </c>
      <c r="O25">
        <f t="shared" si="9"/>
        <v>4006.5499046732702</v>
      </c>
      <c r="P25">
        <f t="shared" si="10"/>
        <v>16052442.13863739</v>
      </c>
      <c r="Q25" s="6">
        <f t="shared" si="11"/>
        <v>0.42570790040623391</v>
      </c>
      <c r="S25" s="7"/>
    </row>
    <row r="26" spans="1:19" x14ac:dyDescent="0.2">
      <c r="A26">
        <f>Data!A22</f>
        <v>2008</v>
      </c>
      <c r="B26" s="4">
        <f>Data!B22</f>
        <v>10383</v>
      </c>
      <c r="C26" s="4">
        <f t="shared" si="13"/>
        <v>7855.9000000000005</v>
      </c>
      <c r="D26">
        <f t="shared" si="0"/>
        <v>2527.0999999999995</v>
      </c>
      <c r="E26">
        <f t="shared" si="1"/>
        <v>2527.0999999999995</v>
      </c>
      <c r="F26">
        <f t="shared" si="2"/>
        <v>6386234.4099999974</v>
      </c>
      <c r="G26" s="6">
        <f t="shared" si="3"/>
        <v>0.24338823076182214</v>
      </c>
      <c r="H26" s="4">
        <f t="shared" si="14"/>
        <v>8315.68</v>
      </c>
      <c r="I26">
        <f t="shared" si="4"/>
        <v>2067.3199999999997</v>
      </c>
      <c r="J26">
        <f t="shared" si="5"/>
        <v>2067.3199999999997</v>
      </c>
      <c r="K26">
        <f t="shared" si="6"/>
        <v>4273811.9823999992</v>
      </c>
      <c r="L26" s="6">
        <f t="shared" si="7"/>
        <v>0.19910623133968985</v>
      </c>
      <c r="M26" s="4">
        <f t="shared" si="12"/>
        <v>6606.9150667287104</v>
      </c>
      <c r="N26">
        <f t="shared" si="8"/>
        <v>3776.0849332712896</v>
      </c>
      <c r="O26">
        <f t="shared" si="9"/>
        <v>3776.0849332712896</v>
      </c>
      <c r="P26">
        <f t="shared" si="10"/>
        <v>14258817.42327844</v>
      </c>
      <c r="Q26" s="6">
        <f t="shared" si="11"/>
        <v>0.3636795659511981</v>
      </c>
      <c r="S26" s="7"/>
    </row>
    <row r="27" spans="1:19" x14ac:dyDescent="0.2">
      <c r="A27">
        <f>Data!A23</f>
        <v>2009</v>
      </c>
      <c r="B27" s="4">
        <f>Data!B23</f>
        <v>9774.6</v>
      </c>
      <c r="C27" s="4">
        <f t="shared" si="13"/>
        <v>9193.8000000000011</v>
      </c>
      <c r="D27">
        <f t="shared" si="0"/>
        <v>580.79999999999927</v>
      </c>
      <c r="E27">
        <f t="shared" si="1"/>
        <v>580.79999999999927</v>
      </c>
      <c r="F27">
        <f t="shared" si="2"/>
        <v>337328.63999999914</v>
      </c>
      <c r="G27" s="6">
        <f t="shared" si="3"/>
        <v>5.9419311276164677E-2</v>
      </c>
      <c r="H27" s="4">
        <f t="shared" si="14"/>
        <v>9572.33</v>
      </c>
      <c r="I27">
        <f t="shared" si="4"/>
        <v>202.27000000000044</v>
      </c>
      <c r="J27">
        <f t="shared" si="5"/>
        <v>202.27000000000044</v>
      </c>
      <c r="K27">
        <f t="shared" si="6"/>
        <v>40913.152900000176</v>
      </c>
      <c r="L27" s="6">
        <f t="shared" si="7"/>
        <v>2.0693429910175396E-2</v>
      </c>
      <c r="M27" s="4">
        <f t="shared" si="12"/>
        <v>7739.7405467100962</v>
      </c>
      <c r="N27">
        <f t="shared" si="8"/>
        <v>2034.8594532899042</v>
      </c>
      <c r="O27">
        <f t="shared" si="9"/>
        <v>2034.8594532899042</v>
      </c>
      <c r="P27">
        <f t="shared" si="10"/>
        <v>4140652.9946432877</v>
      </c>
      <c r="Q27" s="6">
        <f t="shared" si="11"/>
        <v>0.20817828384689951</v>
      </c>
      <c r="S27" s="7"/>
    </row>
    <row r="28" spans="1:19" x14ac:dyDescent="0.2">
      <c r="A28">
        <f>Data!A24</f>
        <v>2010</v>
      </c>
      <c r="B28" s="4">
        <f>Data!B24</f>
        <v>10707.4</v>
      </c>
      <c r="C28" s="4">
        <f t="shared" si="13"/>
        <v>9856.3666666666668</v>
      </c>
      <c r="D28">
        <f t="shared" si="0"/>
        <v>851.03333333333285</v>
      </c>
      <c r="E28">
        <f t="shared" si="1"/>
        <v>851.03333333333285</v>
      </c>
      <c r="F28">
        <f t="shared" si="2"/>
        <v>724257.7344444436</v>
      </c>
      <c r="G28" s="6">
        <f t="shared" si="3"/>
        <v>7.9480857475515337E-2</v>
      </c>
      <c r="H28" s="4">
        <f t="shared" si="14"/>
        <v>9884.5</v>
      </c>
      <c r="I28">
        <f t="shared" si="4"/>
        <v>822.89999999999964</v>
      </c>
      <c r="J28">
        <f t="shared" si="5"/>
        <v>822.89999999999964</v>
      </c>
      <c r="K28">
        <f t="shared" si="6"/>
        <v>677164.40999999945</v>
      </c>
      <c r="L28" s="6">
        <f t="shared" si="7"/>
        <v>7.6853391112688393E-2</v>
      </c>
      <c r="M28" s="4">
        <f t="shared" si="12"/>
        <v>8350.1983826970682</v>
      </c>
      <c r="N28">
        <f t="shared" si="8"/>
        <v>2357.2016173029315</v>
      </c>
      <c r="O28">
        <f t="shared" si="9"/>
        <v>2357.2016173029315</v>
      </c>
      <c r="P28">
        <f t="shared" si="10"/>
        <v>5556399.4646155555</v>
      </c>
      <c r="Q28" s="6">
        <f t="shared" si="11"/>
        <v>0.22014696539803608</v>
      </c>
      <c r="S28" s="7"/>
    </row>
    <row r="29" spans="1:19" x14ac:dyDescent="0.2">
      <c r="A29">
        <f>Data!A25</f>
        <v>2011</v>
      </c>
      <c r="B29" s="4">
        <f>Data!B25</f>
        <v>11700.4</v>
      </c>
      <c r="C29" s="4">
        <f t="shared" si="13"/>
        <v>10288.333333333334</v>
      </c>
      <c r="D29">
        <f t="shared" si="0"/>
        <v>1412.0666666666657</v>
      </c>
      <c r="E29">
        <f t="shared" si="1"/>
        <v>1412.0666666666657</v>
      </c>
      <c r="F29">
        <f t="shared" si="2"/>
        <v>1993932.2711111084</v>
      </c>
      <c r="G29" s="6">
        <f t="shared" si="3"/>
        <v>0.12068533269517843</v>
      </c>
      <c r="H29" s="4">
        <f t="shared" si="14"/>
        <v>10362.68</v>
      </c>
      <c r="I29">
        <f t="shared" si="4"/>
        <v>1337.7199999999993</v>
      </c>
      <c r="J29">
        <f t="shared" si="5"/>
        <v>1337.7199999999993</v>
      </c>
      <c r="K29">
        <f t="shared" si="6"/>
        <v>1789494.7983999983</v>
      </c>
      <c r="L29" s="6">
        <f t="shared" si="7"/>
        <v>0.11433113397832548</v>
      </c>
      <c r="M29" s="4">
        <f t="shared" si="12"/>
        <v>9057.3588678879478</v>
      </c>
      <c r="N29">
        <f t="shared" si="8"/>
        <v>2643.0411321120519</v>
      </c>
      <c r="O29">
        <f t="shared" si="9"/>
        <v>2643.0411321120519</v>
      </c>
      <c r="P29">
        <f t="shared" si="10"/>
        <v>6985666.4260361567</v>
      </c>
      <c r="Q29" s="6">
        <f t="shared" si="11"/>
        <v>0.22589322861714572</v>
      </c>
      <c r="S29" s="7"/>
    </row>
    <row r="30" spans="1:19" x14ac:dyDescent="0.2">
      <c r="A30">
        <f>Data!A26</f>
        <v>2012</v>
      </c>
      <c r="B30" s="4">
        <f>Data!B26</f>
        <v>13299.5</v>
      </c>
      <c r="C30" s="4">
        <f t="shared" si="13"/>
        <v>10727.466666666667</v>
      </c>
      <c r="D30">
        <f t="shared" si="0"/>
        <v>2572.0333333333328</v>
      </c>
      <c r="E30">
        <f t="shared" si="1"/>
        <v>2572.0333333333328</v>
      </c>
      <c r="F30">
        <f t="shared" si="2"/>
        <v>6615355.4677777756</v>
      </c>
      <c r="G30" s="6">
        <f t="shared" si="3"/>
        <v>0.19339323533466166</v>
      </c>
      <c r="H30" s="4">
        <f t="shared" si="14"/>
        <v>11017.34</v>
      </c>
      <c r="I30">
        <f t="shared" si="4"/>
        <v>2282.16</v>
      </c>
      <c r="J30">
        <f t="shared" si="5"/>
        <v>2282.16</v>
      </c>
      <c r="K30">
        <f t="shared" si="6"/>
        <v>5208254.2655999996</v>
      </c>
      <c r="L30" s="6">
        <f t="shared" si="7"/>
        <v>0.17159742847475468</v>
      </c>
      <c r="M30" s="4">
        <f t="shared" si="12"/>
        <v>9850.2712075215641</v>
      </c>
      <c r="N30">
        <f t="shared" si="8"/>
        <v>3449.2287924784359</v>
      </c>
      <c r="O30">
        <f t="shared" si="9"/>
        <v>3449.2287924784359</v>
      </c>
      <c r="P30">
        <f t="shared" si="10"/>
        <v>11897179.262862248</v>
      </c>
      <c r="Q30" s="6">
        <f t="shared" si="11"/>
        <v>0.25935026072246598</v>
      </c>
      <c r="S30" s="7"/>
    </row>
    <row r="31" spans="1:19" x14ac:dyDescent="0.2">
      <c r="A31">
        <f>Data!A27</f>
        <v>2013</v>
      </c>
      <c r="B31" s="4">
        <f>Data!B27</f>
        <v>14892.2</v>
      </c>
      <c r="C31" s="4">
        <f t="shared" si="13"/>
        <v>11902.433333333334</v>
      </c>
      <c r="D31">
        <f t="shared" si="0"/>
        <v>2989.7666666666664</v>
      </c>
      <c r="E31">
        <f t="shared" si="1"/>
        <v>2989.7666666666664</v>
      </c>
      <c r="F31">
        <f t="shared" si="2"/>
        <v>8938704.7211111095</v>
      </c>
      <c r="G31" s="6">
        <f t="shared" si="3"/>
        <v>0.20076057712538553</v>
      </c>
      <c r="H31" s="4">
        <f t="shared" si="14"/>
        <v>12301.349999999999</v>
      </c>
      <c r="I31">
        <f t="shared" si="4"/>
        <v>2590.8500000000022</v>
      </c>
      <c r="J31">
        <f t="shared" si="5"/>
        <v>2590.8500000000022</v>
      </c>
      <c r="K31">
        <f t="shared" si="6"/>
        <v>6712503.7225000113</v>
      </c>
      <c r="L31" s="6">
        <f t="shared" si="7"/>
        <v>0.17397362377620512</v>
      </c>
      <c r="M31" s="4">
        <f t="shared" si="12"/>
        <v>10885.039845265095</v>
      </c>
      <c r="N31">
        <f t="shared" si="8"/>
        <v>4007.1601547349055</v>
      </c>
      <c r="O31">
        <f t="shared" si="9"/>
        <v>4007.1601547349055</v>
      </c>
      <c r="P31">
        <f t="shared" si="10"/>
        <v>16057332.505695071</v>
      </c>
      <c r="Q31" s="6">
        <f t="shared" si="11"/>
        <v>0.26907778264694976</v>
      </c>
      <c r="S31" s="7"/>
    </row>
    <row r="32" spans="1:19" x14ac:dyDescent="0.2">
      <c r="A32">
        <f>Data!A28</f>
        <v>2014</v>
      </c>
      <c r="B32" s="4">
        <f>Data!B28</f>
        <v>16447.8</v>
      </c>
      <c r="C32" s="4">
        <f t="shared" si="13"/>
        <v>13297.366666666669</v>
      </c>
      <c r="D32">
        <f t="shared" si="0"/>
        <v>3150.4333333333307</v>
      </c>
      <c r="E32">
        <f t="shared" si="1"/>
        <v>3150.4333333333307</v>
      </c>
      <c r="F32">
        <f t="shared" si="2"/>
        <v>9925230.1877777614</v>
      </c>
      <c r="G32" s="6">
        <f t="shared" si="3"/>
        <v>0.19154132062241339</v>
      </c>
      <c r="H32" s="4">
        <f t="shared" si="14"/>
        <v>13776.03</v>
      </c>
      <c r="I32">
        <f t="shared" si="4"/>
        <v>2671.7699999999986</v>
      </c>
      <c r="J32">
        <f t="shared" si="5"/>
        <v>2671.7699999999986</v>
      </c>
      <c r="K32">
        <f t="shared" si="6"/>
        <v>7138354.9328999929</v>
      </c>
      <c r="L32" s="6">
        <f t="shared" si="7"/>
        <v>0.16243935359136169</v>
      </c>
      <c r="M32" s="4">
        <f t="shared" si="12"/>
        <v>12087.187891685566</v>
      </c>
      <c r="N32">
        <f t="shared" si="8"/>
        <v>4360.6121083144335</v>
      </c>
      <c r="O32">
        <f t="shared" si="9"/>
        <v>4360.6121083144335</v>
      </c>
      <c r="P32">
        <f t="shared" si="10"/>
        <v>19014937.959178448</v>
      </c>
      <c r="Q32" s="6">
        <f t="shared" si="11"/>
        <v>0.26511825948238876</v>
      </c>
      <c r="S32" s="7"/>
    </row>
    <row r="33" spans="1:19" x14ac:dyDescent="0.2">
      <c r="A33">
        <f>Data!A29</f>
        <v>2015</v>
      </c>
      <c r="B33" s="4">
        <f>Data!B29</f>
        <v>19162.7</v>
      </c>
      <c r="C33" s="4">
        <f t="shared" si="13"/>
        <v>14879.833333333334</v>
      </c>
      <c r="D33">
        <f t="shared" si="0"/>
        <v>4282.8666666666668</v>
      </c>
      <c r="E33">
        <f t="shared" si="1"/>
        <v>4282.8666666666668</v>
      </c>
      <c r="F33">
        <f t="shared" si="2"/>
        <v>18342946.884444445</v>
      </c>
      <c r="G33" s="6">
        <f t="shared" si="3"/>
        <v>0.22350016786082685</v>
      </c>
      <c r="H33" s="4">
        <f t="shared" si="14"/>
        <v>15351.46</v>
      </c>
      <c r="I33">
        <f t="shared" si="4"/>
        <v>3811.2400000000016</v>
      </c>
      <c r="J33">
        <f t="shared" si="5"/>
        <v>3811.2400000000016</v>
      </c>
      <c r="K33">
        <f t="shared" si="6"/>
        <v>14525550.337600011</v>
      </c>
      <c r="L33" s="6">
        <f t="shared" si="7"/>
        <v>0.19888846561288342</v>
      </c>
      <c r="M33" s="4">
        <f t="shared" si="12"/>
        <v>13395.371524179896</v>
      </c>
      <c r="N33">
        <f t="shared" si="8"/>
        <v>5767.3284758201044</v>
      </c>
      <c r="O33">
        <f t="shared" si="9"/>
        <v>5767.3284758201044</v>
      </c>
      <c r="P33">
        <f t="shared" si="10"/>
        <v>33262077.74800545</v>
      </c>
      <c r="Q33" s="6">
        <f t="shared" si="11"/>
        <v>0.30096638134605791</v>
      </c>
      <c r="S33" s="7"/>
    </row>
    <row r="34" spans="1:19" x14ac:dyDescent="0.2">
      <c r="A34">
        <f>Data!A30</f>
        <v>2016</v>
      </c>
      <c r="B34" s="4">
        <f>Data!B30</f>
        <v>21315.9</v>
      </c>
      <c r="C34" s="4">
        <f t="shared" si="13"/>
        <v>16834.233333333334</v>
      </c>
      <c r="D34">
        <f t="shared" si="0"/>
        <v>4481.6666666666679</v>
      </c>
      <c r="E34">
        <f t="shared" si="1"/>
        <v>4481.6666666666679</v>
      </c>
      <c r="F34">
        <f t="shared" si="2"/>
        <v>20085336.111111123</v>
      </c>
      <c r="G34" s="6">
        <f t="shared" si="3"/>
        <v>0.21024993862171748</v>
      </c>
      <c r="H34" s="4">
        <f t="shared" si="14"/>
        <v>17494.129999999997</v>
      </c>
      <c r="I34">
        <f t="shared" si="4"/>
        <v>3821.7700000000041</v>
      </c>
      <c r="J34">
        <f t="shared" si="5"/>
        <v>3821.7700000000041</v>
      </c>
      <c r="K34">
        <f t="shared" si="6"/>
        <v>14605925.932900032</v>
      </c>
      <c r="L34" s="6">
        <f t="shared" si="7"/>
        <v>0.17929198391810824</v>
      </c>
      <c r="M34" s="4">
        <f t="shared" si="12"/>
        <v>15125.570066925928</v>
      </c>
      <c r="N34">
        <f t="shared" si="8"/>
        <v>6190.3299330740738</v>
      </c>
      <c r="O34">
        <f t="shared" si="9"/>
        <v>6190.3299330740738</v>
      </c>
      <c r="P34">
        <f t="shared" si="10"/>
        <v>38320184.680312864</v>
      </c>
      <c r="Q34" s="6">
        <f t="shared" si="11"/>
        <v>0.29040903424551973</v>
      </c>
      <c r="S34" s="7"/>
    </row>
    <row r="35" spans="1:19" x14ac:dyDescent="0.2">
      <c r="A35">
        <f>Data!A31</f>
        <v>2017</v>
      </c>
      <c r="B35" s="4">
        <f>Data!B31</f>
        <v>22386.799999999999</v>
      </c>
      <c r="C35" s="4">
        <f t="shared" si="13"/>
        <v>18975.466666666667</v>
      </c>
      <c r="D35">
        <f t="shared" si="0"/>
        <v>3411.3333333333321</v>
      </c>
      <c r="E35">
        <f t="shared" si="1"/>
        <v>3411.3333333333321</v>
      </c>
      <c r="F35">
        <f t="shared" si="2"/>
        <v>11637195.111111103</v>
      </c>
      <c r="G35" s="6">
        <f t="shared" si="3"/>
        <v>0.15238146288586721</v>
      </c>
      <c r="H35" s="4">
        <f t="shared" si="14"/>
        <v>19696.320000000003</v>
      </c>
      <c r="I35">
        <f t="shared" si="4"/>
        <v>2690.4799999999959</v>
      </c>
      <c r="J35">
        <f t="shared" si="5"/>
        <v>2690.4799999999959</v>
      </c>
      <c r="K35">
        <f t="shared" si="6"/>
        <v>7238682.6303999778</v>
      </c>
      <c r="L35" s="6">
        <f t="shared" si="7"/>
        <v>0.12018153554773331</v>
      </c>
      <c r="M35" s="4">
        <f t="shared" si="12"/>
        <v>16982.669046848147</v>
      </c>
      <c r="N35">
        <f t="shared" si="8"/>
        <v>5404.1309531518527</v>
      </c>
      <c r="O35">
        <f t="shared" si="9"/>
        <v>5404.1309531518527</v>
      </c>
      <c r="P35">
        <f t="shared" si="10"/>
        <v>29204631.358813953</v>
      </c>
      <c r="Q35" s="6">
        <f t="shared" si="11"/>
        <v>0.24139809857379585</v>
      </c>
      <c r="S35" s="7"/>
    </row>
    <row r="36" spans="1:19" x14ac:dyDescent="0.2">
      <c r="A36">
        <f>Data!A32</f>
        <v>2018</v>
      </c>
      <c r="B36" s="4">
        <f>Data!B32</f>
        <v>24719.5</v>
      </c>
      <c r="C36" s="4">
        <f t="shared" si="13"/>
        <v>20955.133333333335</v>
      </c>
      <c r="D36">
        <f t="shared" si="0"/>
        <v>3764.366666666665</v>
      </c>
      <c r="E36">
        <f t="shared" si="1"/>
        <v>3764.366666666665</v>
      </c>
      <c r="F36">
        <f t="shared" si="2"/>
        <v>14170456.401111098</v>
      </c>
      <c r="G36" s="6">
        <f t="shared" si="3"/>
        <v>0.15228328512577782</v>
      </c>
      <c r="H36" s="4">
        <f t="shared" si="14"/>
        <v>21420.71</v>
      </c>
      <c r="I36">
        <f t="shared" si="4"/>
        <v>3298.7900000000009</v>
      </c>
      <c r="J36">
        <f t="shared" si="5"/>
        <v>3298.7900000000009</v>
      </c>
      <c r="K36">
        <f t="shared" si="6"/>
        <v>10882015.464100005</v>
      </c>
      <c r="L36" s="6">
        <f t="shared" si="7"/>
        <v>0.13344889662007731</v>
      </c>
      <c r="M36" s="4">
        <f t="shared" si="12"/>
        <v>18603.908332793701</v>
      </c>
      <c r="N36">
        <f t="shared" si="8"/>
        <v>6115.5916672062995</v>
      </c>
      <c r="O36">
        <f t="shared" si="9"/>
        <v>6115.5916672062995</v>
      </c>
      <c r="P36">
        <f t="shared" si="10"/>
        <v>37400461.440003127</v>
      </c>
      <c r="Q36" s="6">
        <f t="shared" si="11"/>
        <v>0.24739948895431943</v>
      </c>
      <c r="S36" s="7"/>
    </row>
    <row r="37" spans="1:19" x14ac:dyDescent="0.2">
      <c r="A37">
        <f>Data!A33</f>
        <v>2019</v>
      </c>
      <c r="B37" s="4">
        <f>Data!B33</f>
        <v>26508.6</v>
      </c>
      <c r="C37" s="4">
        <f t="shared" si="13"/>
        <v>22807.399999999998</v>
      </c>
      <c r="D37">
        <f t="shared" si="0"/>
        <v>3701.2000000000007</v>
      </c>
      <c r="E37">
        <f t="shared" si="1"/>
        <v>3701.2000000000007</v>
      </c>
      <c r="F37">
        <f t="shared" si="2"/>
        <v>13698881.440000005</v>
      </c>
      <c r="G37" s="6">
        <f t="shared" si="3"/>
        <v>0.13962261303878745</v>
      </c>
      <c r="H37" s="4">
        <f t="shared" si="14"/>
        <v>23338.97</v>
      </c>
      <c r="I37">
        <f t="shared" si="4"/>
        <v>3169.6299999999974</v>
      </c>
      <c r="J37">
        <f t="shared" si="5"/>
        <v>3169.6299999999974</v>
      </c>
      <c r="K37">
        <f t="shared" si="6"/>
        <v>10046554.336899983</v>
      </c>
      <c r="L37" s="6">
        <f t="shared" si="7"/>
        <v>0.11956987543665065</v>
      </c>
      <c r="M37" s="4">
        <f t="shared" si="12"/>
        <v>20438.585832955589</v>
      </c>
      <c r="N37">
        <f t="shared" si="8"/>
        <v>6070.01416704441</v>
      </c>
      <c r="O37">
        <f t="shared" si="9"/>
        <v>6070.01416704441</v>
      </c>
      <c r="P37">
        <f t="shared" si="10"/>
        <v>36845071.988119841</v>
      </c>
      <c r="Q37" s="6">
        <f t="shared" si="11"/>
        <v>0.2289828269710362</v>
      </c>
      <c r="S37" s="7"/>
    </row>
    <row r="38" spans="1:19" x14ac:dyDescent="0.2">
      <c r="A38">
        <f>Data!A34</f>
        <v>2020</v>
      </c>
      <c r="B38" s="4">
        <f>Data!B34</f>
        <v>23518</v>
      </c>
      <c r="C38" s="4">
        <f t="shared" si="13"/>
        <v>24538.3</v>
      </c>
      <c r="D38">
        <f t="shared" si="0"/>
        <v>-1020.2999999999993</v>
      </c>
      <c r="E38">
        <f t="shared" si="1"/>
        <v>1020.2999999999993</v>
      </c>
      <c r="F38">
        <f t="shared" si="2"/>
        <v>1041012.0899999986</v>
      </c>
      <c r="G38" s="6">
        <f t="shared" si="3"/>
        <v>4.3383791138702242E-2</v>
      </c>
      <c r="H38" s="4">
        <f t="shared" si="14"/>
        <v>25147.51</v>
      </c>
      <c r="I38">
        <f t="shared" si="4"/>
        <v>-1629.5099999999984</v>
      </c>
      <c r="J38">
        <f t="shared" si="5"/>
        <v>1629.5099999999984</v>
      </c>
      <c r="K38">
        <f t="shared" si="6"/>
        <v>2655302.8400999946</v>
      </c>
      <c r="L38" s="6">
        <f t="shared" si="7"/>
        <v>6.9287779573092886E-2</v>
      </c>
      <c r="M38" s="4">
        <f t="shared" si="12"/>
        <v>22259.59008306891</v>
      </c>
      <c r="N38">
        <f t="shared" si="8"/>
        <v>1258.4099169310903</v>
      </c>
      <c r="O38">
        <f t="shared" si="9"/>
        <v>1258.4099169310903</v>
      </c>
      <c r="P38">
        <f t="shared" si="10"/>
        <v>1583595.5190305135</v>
      </c>
      <c r="Q38" s="6">
        <f t="shared" si="11"/>
        <v>5.3508373030491121E-2</v>
      </c>
      <c r="S38" s="7"/>
    </row>
    <row r="39" spans="1:19" x14ac:dyDescent="0.2">
      <c r="A39">
        <f>Data!A35</f>
        <v>2021</v>
      </c>
      <c r="B39" s="4">
        <f>Data!B35</f>
        <v>29060.6</v>
      </c>
      <c r="C39" s="4">
        <f t="shared" si="13"/>
        <v>24915.366666666669</v>
      </c>
      <c r="D39">
        <f t="shared" si="0"/>
        <v>4145.2333333333299</v>
      </c>
      <c r="E39">
        <f t="shared" si="1"/>
        <v>4145.2333333333299</v>
      </c>
      <c r="F39">
        <f t="shared" si="2"/>
        <v>17182959.387777749</v>
      </c>
      <c r="G39" s="6">
        <f t="shared" si="3"/>
        <v>0.14264100993555984</v>
      </c>
      <c r="H39" s="4">
        <f t="shared" si="14"/>
        <v>24655.48</v>
      </c>
      <c r="I39">
        <f t="shared" si="4"/>
        <v>4405.119999999999</v>
      </c>
      <c r="J39">
        <f t="shared" si="5"/>
        <v>4405.119999999999</v>
      </c>
      <c r="K39">
        <f t="shared" si="6"/>
        <v>19405082.21439999</v>
      </c>
      <c r="L39" s="6">
        <f t="shared" si="7"/>
        <v>0.15158393150864052</v>
      </c>
      <c r="M39" s="4">
        <f t="shared" si="12"/>
        <v>22637.113058148236</v>
      </c>
      <c r="N39">
        <f t="shared" si="8"/>
        <v>6423.4869418517628</v>
      </c>
      <c r="O39">
        <f t="shared" si="9"/>
        <v>6423.4869418517628</v>
      </c>
      <c r="P39">
        <f t="shared" si="10"/>
        <v>41261184.492140114</v>
      </c>
      <c r="Q39" s="6">
        <f t="shared" si="11"/>
        <v>0.22103765723528637</v>
      </c>
      <c r="S39" s="7"/>
    </row>
    <row r="40" spans="1:19" x14ac:dyDescent="0.2">
      <c r="A40">
        <f>Data!A36</f>
        <v>2022</v>
      </c>
      <c r="B40" s="4">
        <f>Data!B36</f>
        <v>32250.3</v>
      </c>
      <c r="C40" s="4">
        <f t="shared" si="13"/>
        <v>26362.399999999998</v>
      </c>
      <c r="D40">
        <f t="shared" si="0"/>
        <v>5887.9000000000015</v>
      </c>
      <c r="E40">
        <f t="shared" si="1"/>
        <v>5887.9000000000015</v>
      </c>
      <c r="F40">
        <f t="shared" si="2"/>
        <v>34667366.410000019</v>
      </c>
      <c r="G40" s="6">
        <f t="shared" si="3"/>
        <v>0.18256884432082807</v>
      </c>
      <c r="H40" s="4">
        <f t="shared" si="14"/>
        <v>26887.42</v>
      </c>
      <c r="I40">
        <f t="shared" si="4"/>
        <v>5362.880000000001</v>
      </c>
      <c r="J40">
        <f t="shared" si="5"/>
        <v>5362.880000000001</v>
      </c>
      <c r="K40">
        <f t="shared" si="6"/>
        <v>28760481.894400012</v>
      </c>
      <c r="L40" s="6">
        <f t="shared" si="7"/>
        <v>0.16628930583591475</v>
      </c>
      <c r="M40" s="4">
        <f t="shared" si="12"/>
        <v>24564.159140703763</v>
      </c>
      <c r="N40">
        <f t="shared" si="8"/>
        <v>7686.1408592962362</v>
      </c>
      <c r="O40">
        <f t="shared" si="9"/>
        <v>7686.1408592962362</v>
      </c>
      <c r="P40">
        <f t="shared" si="10"/>
        <v>59076761.308943085</v>
      </c>
      <c r="Q40" s="6">
        <f t="shared" si="11"/>
        <v>0.23832773212330541</v>
      </c>
      <c r="S40" s="7"/>
    </row>
    <row r="41" spans="1:19" x14ac:dyDescent="0.2">
      <c r="A41">
        <f>Data!A37</f>
        <v>2023</v>
      </c>
      <c r="B41" s="4">
        <f>Data!B37</f>
        <v>35975.599999999999</v>
      </c>
      <c r="C41" s="4">
        <f t="shared" si="13"/>
        <v>28276.3</v>
      </c>
      <c r="D41">
        <f t="shared" si="0"/>
        <v>7699.2999999999993</v>
      </c>
      <c r="E41">
        <f t="shared" si="1"/>
        <v>7699.2999999999993</v>
      </c>
      <c r="F41">
        <f t="shared" si="2"/>
        <v>59279220.489999987</v>
      </c>
      <c r="G41" s="6">
        <f t="shared" si="3"/>
        <v>0.21401449871579625</v>
      </c>
      <c r="H41" s="4">
        <f t="shared" si="14"/>
        <v>29546.93</v>
      </c>
      <c r="I41">
        <f t="shared" si="4"/>
        <v>6428.6699999999983</v>
      </c>
      <c r="J41">
        <f t="shared" si="5"/>
        <v>6428.6699999999983</v>
      </c>
      <c r="K41">
        <f t="shared" si="6"/>
        <v>41327797.96889998</v>
      </c>
      <c r="L41" s="6">
        <f t="shared" si="7"/>
        <v>0.17869528235804263</v>
      </c>
      <c r="M41" s="4">
        <f t="shared" si="12"/>
        <v>26870.001398492634</v>
      </c>
      <c r="N41">
        <f t="shared" si="8"/>
        <v>9105.5986015073649</v>
      </c>
      <c r="O41">
        <f t="shared" si="9"/>
        <v>9105.5986015073649</v>
      </c>
      <c r="P41">
        <f t="shared" si="10"/>
        <v>82911925.891772881</v>
      </c>
      <c r="Q41" s="6">
        <f t="shared" si="11"/>
        <v>0.25310484332456901</v>
      </c>
      <c r="S41" s="7"/>
    </row>
    <row r="42" spans="1:19" x14ac:dyDescent="0.2">
      <c r="A42">
        <f>Data!A38</f>
        <v>2024</v>
      </c>
      <c r="B42" s="4">
        <f>Data!B38</f>
        <v>36176.199999999997</v>
      </c>
      <c r="C42" s="4">
        <f t="shared" si="13"/>
        <v>32428.833333333332</v>
      </c>
      <c r="D42">
        <f t="shared" si="0"/>
        <v>3747.366666666665</v>
      </c>
      <c r="E42">
        <f t="shared" si="1"/>
        <v>3747.366666666665</v>
      </c>
      <c r="F42">
        <f t="shared" si="2"/>
        <v>14042756.934444431</v>
      </c>
      <c r="G42" s="6">
        <f t="shared" si="3"/>
        <v>0.10358652005093584</v>
      </c>
      <c r="H42" s="4">
        <f t="shared" si="14"/>
        <v>33475.01</v>
      </c>
      <c r="I42">
        <f t="shared" si="4"/>
        <v>2701.1899999999951</v>
      </c>
      <c r="J42">
        <f t="shared" si="5"/>
        <v>2701.1899999999951</v>
      </c>
      <c r="K42">
        <f t="shared" si="6"/>
        <v>7296427.416099973</v>
      </c>
      <c r="L42" s="6">
        <f t="shared" si="7"/>
        <v>7.4667599139765797E-2</v>
      </c>
      <c r="M42" s="4">
        <f t="shared" si="12"/>
        <v>29601.680978944838</v>
      </c>
      <c r="N42">
        <f t="shared" si="8"/>
        <v>6574.5190210551591</v>
      </c>
      <c r="O42">
        <f t="shared" si="9"/>
        <v>6574.5190210551591</v>
      </c>
      <c r="P42">
        <f t="shared" si="10"/>
        <v>43224300.358216085</v>
      </c>
      <c r="Q42" s="6">
        <f t="shared" si="11"/>
        <v>0.1817360314531421</v>
      </c>
      <c r="S42" s="7"/>
    </row>
    <row r="44" spans="1:19" x14ac:dyDescent="0.2">
      <c r="B44" s="5" t="s">
        <v>33</v>
      </c>
      <c r="C44" s="2" t="s">
        <v>37</v>
      </c>
      <c r="H44" s="2" t="s">
        <v>38</v>
      </c>
      <c r="M44" s="2" t="s">
        <v>39</v>
      </c>
    </row>
    <row r="45" spans="1:19" x14ac:dyDescent="0.2">
      <c r="B45" s="2" t="s">
        <v>34</v>
      </c>
      <c r="C45">
        <f>AVERAGE(E9:E42)</f>
        <v>2344.9301075268818</v>
      </c>
      <c r="H45">
        <f>AVERAGE(J9:J42)</f>
        <v>2052.8545161290317</v>
      </c>
      <c r="M45">
        <f>AVERAGE(O9:O42)</f>
        <v>3089.8369299275896</v>
      </c>
    </row>
    <row r="46" spans="1:19" x14ac:dyDescent="0.2">
      <c r="B46" s="2" t="s">
        <v>35</v>
      </c>
      <c r="C46">
        <f>AVERAGE(F9:F42)</f>
        <v>8664802.5267025083</v>
      </c>
      <c r="H46">
        <f>AVERAGE(K9:K42)</f>
        <v>6610918.5057516098</v>
      </c>
      <c r="M46">
        <f>AVERAGE(P9:P42)</f>
        <v>15695466.441007359</v>
      </c>
    </row>
    <row r="47" spans="1:19" x14ac:dyDescent="0.2">
      <c r="B47" s="2" t="s">
        <v>36</v>
      </c>
      <c r="C47" s="6">
        <f>AVERAGE(G9:G42)</f>
        <v>0.27627320882587375</v>
      </c>
      <c r="H47" s="6">
        <f>AVERAGE(L9:L42)</f>
        <v>0.24173902017883486</v>
      </c>
      <c r="M47" s="6">
        <f>AVERAGE(Q9:Q42)</f>
        <v>0.36523727646655829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 Louis Anthony Pauza III</cp:lastModifiedBy>
  <dcterms:created xsi:type="dcterms:W3CDTF">2025-09-04T22:41:22Z</dcterms:created>
  <dcterms:modified xsi:type="dcterms:W3CDTF">2025-09-07T17:59:11Z</dcterms:modified>
</cp:coreProperties>
</file>